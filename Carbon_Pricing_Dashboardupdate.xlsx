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wg09\Downloads\"/>
    </mc:Choice>
  </mc:AlternateContent>
  <xr:revisionPtr revIDLastSave="0" documentId="13_ncr:1_{71C17B37-CE06-41DE-A67C-0712D02A30E8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Dashboard" sheetId="1" r:id="rId1"/>
    <sheet name="Analysis" sheetId="2" r:id="rId2"/>
    <sheet name="Chart_Heatmap" sheetId="3" r:id="rId3"/>
    <sheet name="Econ_Analysis" sheetId="4" r:id="rId4"/>
    <sheet name="Chart_Scatter" sheetId="5" r:id="rId5"/>
    <sheet name="Chart_PriceTrends" sheetId="6" r:id="rId6"/>
    <sheet name="Data_Pricing" sheetId="7" r:id="rId7"/>
    <sheet name="Data_Emissions" sheetId="8" r:id="rId8"/>
    <sheet name="Methodology" sheetId="9" r:id="rId9"/>
    <sheet name="DB_Helper" sheetId="10" state="hidden" r:id="rId10"/>
  </sheets>
  <definedNames>
    <definedName name="_xlnm._FilterDatabase" localSheetId="1" hidden="1">Analysis!$A$1:$J$435</definedName>
    <definedName name="_xlnm._FilterDatabase" localSheetId="7" hidden="1">Data_Emissions!$A$1:$F$631</definedName>
    <definedName name="_xlnm._FilterDatabase" localSheetId="6" hidden="1">Data_Pricing!$A$1:$G$513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57" i="4" l="1"/>
  <c r="D57" i="4"/>
  <c r="E57" i="4" s="1"/>
  <c r="F56" i="4"/>
  <c r="D56" i="4"/>
  <c r="E56" i="4" s="1"/>
  <c r="F55" i="4"/>
  <c r="D55" i="4"/>
  <c r="E55" i="4" s="1"/>
  <c r="F54" i="4"/>
  <c r="E54" i="4"/>
  <c r="D54" i="4"/>
  <c r="F53" i="4"/>
  <c r="D53" i="4"/>
  <c r="E53" i="4" s="1"/>
  <c r="E33" i="4"/>
  <c r="D33" i="4"/>
  <c r="C33" i="4"/>
  <c r="E32" i="4"/>
  <c r="D32" i="4"/>
  <c r="E31" i="4" s="1"/>
  <c r="C32" i="4"/>
  <c r="D31" i="4"/>
  <c r="E30" i="4" s="1"/>
  <c r="C31" i="4"/>
  <c r="D30" i="4"/>
  <c r="E29" i="4" s="1"/>
  <c r="C30" i="4"/>
  <c r="D29" i="4"/>
  <c r="E28" i="4" s="1"/>
  <c r="C29" i="4"/>
  <c r="D28" i="4"/>
  <c r="C28" i="4"/>
  <c r="H23" i="4"/>
  <c r="I23" i="4" s="1"/>
  <c r="F23" i="4"/>
  <c r="E23" i="4"/>
  <c r="D23" i="4"/>
  <c r="C23" i="4"/>
  <c r="H22" i="4"/>
  <c r="I22" i="4" s="1"/>
  <c r="E22" i="4"/>
  <c r="D22" i="4"/>
  <c r="C22" i="4"/>
  <c r="G22" i="4" s="1"/>
  <c r="H21" i="4"/>
  <c r="I21" i="4" s="1"/>
  <c r="E21" i="4"/>
  <c r="D21" i="4"/>
  <c r="C21" i="4"/>
  <c r="G21" i="4" s="1"/>
  <c r="H20" i="4"/>
  <c r="E20" i="4"/>
  <c r="D20" i="4"/>
  <c r="C20" i="4"/>
  <c r="G20" i="4" s="1"/>
  <c r="I19" i="4"/>
  <c r="H19" i="4"/>
  <c r="E19" i="4"/>
  <c r="D19" i="4"/>
  <c r="C19" i="4"/>
  <c r="F19" i="4" s="1"/>
  <c r="H18" i="4"/>
  <c r="I18" i="4" s="1"/>
  <c r="E18" i="4"/>
  <c r="D18" i="4"/>
  <c r="C18" i="4"/>
  <c r="G18" i="4" s="1"/>
  <c r="H17" i="4"/>
  <c r="I17" i="4" s="1"/>
  <c r="G17" i="4"/>
  <c r="E17" i="4"/>
  <c r="D17" i="4"/>
  <c r="C17" i="4"/>
  <c r="F17" i="4" s="1"/>
  <c r="H16" i="4"/>
  <c r="F16" i="4"/>
  <c r="E16" i="4"/>
  <c r="D16" i="4"/>
  <c r="C16" i="4"/>
  <c r="H15" i="4"/>
  <c r="I16" i="4" s="1"/>
  <c r="E15" i="4"/>
  <c r="D15" i="4"/>
  <c r="C15" i="4"/>
  <c r="G16" i="4" s="1"/>
  <c r="I11" i="4"/>
  <c r="E11" i="4"/>
  <c r="D11" i="4"/>
  <c r="C11" i="4"/>
  <c r="I10" i="4"/>
  <c r="E10" i="4"/>
  <c r="D10" i="4"/>
  <c r="C10" i="4"/>
  <c r="I9" i="4"/>
  <c r="E9" i="4"/>
  <c r="D9" i="4"/>
  <c r="C9" i="4"/>
  <c r="I8" i="4"/>
  <c r="E8" i="4"/>
  <c r="D8" i="4"/>
  <c r="C8" i="4"/>
  <c r="I7" i="4"/>
  <c r="E7" i="4"/>
  <c r="D7" i="4"/>
  <c r="C7" i="4"/>
  <c r="I6" i="4"/>
  <c r="E6" i="4"/>
  <c r="D6" i="4"/>
  <c r="C6" i="4"/>
  <c r="I5" i="4"/>
  <c r="E5" i="4"/>
  <c r="D5" i="4"/>
  <c r="C5" i="4"/>
  <c r="H8" i="1"/>
  <c r="F8" i="1"/>
  <c r="D8" i="1"/>
  <c r="B8" i="1"/>
  <c r="F18" i="4" l="1"/>
  <c r="G19" i="4"/>
  <c r="I20" i="4"/>
  <c r="F22" i="4"/>
  <c r="G23" i="4"/>
  <c r="F21" i="4"/>
  <c r="F20" i="4"/>
</calcChain>
</file>

<file path=xl/sharedStrings.xml><?xml version="1.0" encoding="utf-8"?>
<sst xmlns="http://schemas.openxmlformats.org/spreadsheetml/2006/main" count="5044" uniqueCount="253">
  <si>
    <t>🌍   GLOBAL CARBON PRICING DASHBOARD</t>
  </si>
  <si>
    <t>Region</t>
  </si>
  <si>
    <t>Policy Type</t>
  </si>
  <si>
    <t>Year From</t>
  </si>
  <si>
    <t>Year To</t>
  </si>
  <si>
    <t>All</t>
  </si>
  <si>
    <t>JURISDICTIONS</t>
  </si>
  <si>
    <t>AVG PRICE ($/tCO2)</t>
  </si>
  <si>
    <t>AVG EMISSIONS (MtCO2)</t>
  </si>
  <si>
    <t>EST. REVENUE ($B)</t>
  </si>
  <si>
    <t xml:space="preserve">  BREAKDOWN BY REGION  ·  Full dataset (2015–2023 · All policies)</t>
  </si>
  <si>
    <t>Jurisdictions</t>
  </si>
  <si>
    <t>Avg Price ($/tCO2)</t>
  </si>
  <si>
    <t>Avg Emissions (MtCO2)</t>
  </si>
  <si>
    <t>Revenue ($B)</t>
  </si>
  <si>
    <t>Policy Split</t>
  </si>
  <si>
    <t>Period</t>
  </si>
  <si>
    <t>Africa</t>
  </si>
  <si>
    <t>4 tax / 0 ETS</t>
  </si>
  <si>
    <t>2015–2023</t>
  </si>
  <si>
    <t>Asia-Pacific</t>
  </si>
  <si>
    <t>14 tax / 86 ETS</t>
  </si>
  <si>
    <t>Europe</t>
  </si>
  <si>
    <t>137 tax / 24 ETS</t>
  </si>
  <si>
    <t>Latin America</t>
  </si>
  <si>
    <t>39 tax / 0 ETS</t>
  </si>
  <si>
    <t>North America</t>
  </si>
  <si>
    <t>17 tax / 25 ETS</t>
  </si>
  <si>
    <t>Other</t>
  </si>
  <si>
    <t>22 tax / 64 ETS</t>
  </si>
  <si>
    <t>GLOBAL TOTAL</t>
  </si>
  <si>
    <t>233 tax / 199 ETS</t>
  </si>
  <si>
    <t>KPIs respond to all 4 filters  ·  Table shows full dataset  ·  Revenue = Price × Emissions × 0.30  ·  Source: World Bank 2024</t>
  </si>
  <si>
    <t>Jurisdiction</t>
  </si>
  <si>
    <t>Year</t>
  </si>
  <si>
    <t>Carbon_Price_USD</t>
  </si>
  <si>
    <t>Policy_Type</t>
  </si>
  <si>
    <t>Emissions_MtCO2</t>
  </si>
  <si>
    <t>Revenue_Proxy_MUSD</t>
  </si>
  <si>
    <t>Price_Intensity</t>
  </si>
  <si>
    <t>Log_Price</t>
  </si>
  <si>
    <t>Log_Emissions</t>
  </si>
  <si>
    <t>D_Africa</t>
  </si>
  <si>
    <t>D_Asia-Pacific</t>
  </si>
  <si>
    <t>D_Europe</t>
  </si>
  <si>
    <t>D_Latin America</t>
  </si>
  <si>
    <t>D_North America</t>
  </si>
  <si>
    <t>D_Other</t>
  </si>
  <si>
    <t>D_CarbonTax</t>
  </si>
  <si>
    <t>D_ETS</t>
  </si>
  <si>
    <t>Juris_First</t>
  </si>
  <si>
    <t>Jurisdiction name</t>
  </si>
  <si>
    <t>Calendar year</t>
  </si>
  <si>
    <t>Nominal USD per tCO2</t>
  </si>
  <si>
    <t>Carbon tax or ETS</t>
  </si>
  <si>
    <t>Total national/sub-national emissions</t>
  </si>
  <si>
    <t>World region</t>
  </si>
  <si>
    <t>Estimated revenue ($/tCO2 × MtCO2 × 0.30)</t>
  </si>
  <si>
    <t>Price per unit emissions</t>
  </si>
  <si>
    <t>ln(Price) for econometric regression</t>
  </si>
  <si>
    <t>ln(Emissions) for regression</t>
  </si>
  <si>
    <t>Dummy variable: 1=D_Africa</t>
  </si>
  <si>
    <t>Dummy variable: 1=D_Asia-Pacific</t>
  </si>
  <si>
    <t>Dummy variable: 1=D_Europe</t>
  </si>
  <si>
    <t>Dummy variable: 1=D_Latin America</t>
  </si>
  <si>
    <t>Dummy variable: 1=D_North America</t>
  </si>
  <si>
    <t>Dummy variable: 1=D_Other</t>
  </si>
  <si>
    <t>Dummy variable: 1=D_CarbonTax</t>
  </si>
  <si>
    <t>Dummy variable: 1=D_ETS</t>
  </si>
  <si>
    <t>Dummy variable: 1=Juris_First</t>
  </si>
  <si>
    <t>Alberta</t>
  </si>
  <si>
    <t>ETS</t>
  </si>
  <si>
    <t>Carbon tax</t>
  </si>
  <si>
    <t>Argentina</t>
  </si>
  <si>
    <t>Austria</t>
  </si>
  <si>
    <t>Baja California</t>
  </si>
  <si>
    <t>Beijing</t>
  </si>
  <si>
    <t>British Columbia</t>
  </si>
  <si>
    <t>California</t>
  </si>
  <si>
    <t>Canada</t>
  </si>
  <si>
    <t>Chile</t>
  </si>
  <si>
    <t>China</t>
  </si>
  <si>
    <t>Chongqing</t>
  </si>
  <si>
    <t>Colombia</t>
  </si>
  <si>
    <t>Denmark</t>
  </si>
  <si>
    <t>EU</t>
  </si>
  <si>
    <t>Estonia</t>
  </si>
  <si>
    <t>Finland</t>
  </si>
  <si>
    <t>France</t>
  </si>
  <si>
    <t>Fujian</t>
  </si>
  <si>
    <t>Germany</t>
  </si>
  <si>
    <t>Guangdong (except Shenzhen)</t>
  </si>
  <si>
    <t>Hubei</t>
  </si>
  <si>
    <t>Iceland</t>
  </si>
  <si>
    <t>Ireland</t>
  </si>
  <si>
    <t>Japan</t>
  </si>
  <si>
    <t>Kazakhstan</t>
  </si>
  <si>
    <t>Korea, Rep.</t>
  </si>
  <si>
    <t>Latvia</t>
  </si>
  <si>
    <t>Luxembourg</t>
  </si>
  <si>
    <t>Massachusetts</t>
  </si>
  <si>
    <t>Mexico</t>
  </si>
  <si>
    <t>Netherlands</t>
  </si>
  <si>
    <t>New Brunswick</t>
  </si>
  <si>
    <t>New Zealand</t>
  </si>
  <si>
    <t>Newfoundland and Labrador</t>
  </si>
  <si>
    <t>Northwest Territories</t>
  </si>
  <si>
    <t>Norway</t>
  </si>
  <si>
    <t>Nova Scotia</t>
  </si>
  <si>
    <t>Ontario</t>
  </si>
  <si>
    <t>Poland</t>
  </si>
  <si>
    <t>Portugal</t>
  </si>
  <si>
    <t>Prince Edward Island</t>
  </si>
  <si>
    <t>Quebec</t>
  </si>
  <si>
    <t>Queretaro</t>
  </si>
  <si>
    <t>RGGI</t>
  </si>
  <si>
    <t>Saitama</t>
  </si>
  <si>
    <t>Saskatchewan</t>
  </si>
  <si>
    <t>Shanghai</t>
  </si>
  <si>
    <t>Shenzhen</t>
  </si>
  <si>
    <t>Singapore</t>
  </si>
  <si>
    <t>Slovenia</t>
  </si>
  <si>
    <t>South Africa</t>
  </si>
  <si>
    <t>Spain</t>
  </si>
  <si>
    <t>State of Mexico</t>
  </si>
  <si>
    <t>Switzerland</t>
  </si>
  <si>
    <t>Tamaulipas</t>
  </si>
  <si>
    <t>Tianjin</t>
  </si>
  <si>
    <t>Tokyo</t>
  </si>
  <si>
    <t>Ukraine</t>
  </si>
  <si>
    <t>United Kingdom</t>
  </si>
  <si>
    <t>Uruguay</t>
  </si>
  <si>
    <t>Washington</t>
  </si>
  <si>
    <t>Yucatan</t>
  </si>
  <si>
    <t>Zacatecas</t>
  </si>
  <si>
    <t>CARBON PRICE HEATMAP BY JURISDICTION &amp; YEAR  ($/tCO2)  |  Color intensity = price level</t>
  </si>
  <si>
    <t>LEGEND:   □ No data   ■ &lt;$10   ■ $10–25   ■ $25–50   ■ $50–75   ■ $75–100   ■ &gt;$100</t>
  </si>
  <si>
    <t>ECONOMETRIC ANALYSIS  |  Carbon Pricing Effectiveness &amp; Policy Evaluation</t>
  </si>
  <si>
    <t>A.  DESCRIPTIVE STATISTICS BY REGION  (Carbon Price, $/tCO2)</t>
  </si>
  <si>
    <t>N (obs)</t>
  </si>
  <si>
    <t>Mean Price</t>
  </si>
  <si>
    <t>Median</t>
  </si>
  <si>
    <t>Std Dev</t>
  </si>
  <si>
    <t>Min</t>
  </si>
  <si>
    <t>Max</t>
  </si>
  <si>
    <t>ALL</t>
  </si>
  <si>
    <t>B.  YEAR-ON-YEAR PRICE EVOLUTION  (Avg Carbon Price, $/tCO2)</t>
  </si>
  <si>
    <t>Carbon Tax Avg</t>
  </si>
  <si>
    <t>ETS Avg</t>
  </si>
  <si>
    <t>YoY Change</t>
  </si>
  <si>
    <t>CAGR from 2015</t>
  </si>
  <si>
    <t>Emissions vs 2015 (Index)</t>
  </si>
  <si>
    <t>-</t>
  </si>
  <si>
    <t>100</t>
  </si>
  <si>
    <t>C.  CARBON TAX vs. ETS COMPARISON  (Policy Effectiveness Matrix)</t>
  </si>
  <si>
    <t>Metric</t>
  </si>
  <si>
    <t>Carbon Tax</t>
  </si>
  <si>
    <t>Difference (ETS−Tax)</t>
  </si>
  <si>
    <t>Interpretation</t>
  </si>
  <si>
    <t>Observations (N)</t>
  </si>
  <si>
    <t>ETS covers more jurisdictions</t>
  </si>
  <si>
    <t>Mean Price ($/tCO2)</t>
  </si>
  <si>
    <t>+ = ETS priced higher on average</t>
  </si>
  <si>
    <t>Std Dev of Price</t>
  </si>
  <si>
    <t>+ = ETS more price-volatile</t>
  </si>
  <si>
    <t>Mean Emissions (MtCO2)</t>
  </si>
  <si>
    <t>+ = ETS jurisdictions emit more</t>
  </si>
  <si>
    <t>Revenue Proxy ($M)</t>
  </si>
  <si>
    <t>Avg estimated annual revenue</t>
  </si>
  <si>
    <t>Price per MtCO2 (Intensity)</t>
  </si>
  <si>
    <t>Price intensity (efficiency proxy)</t>
  </si>
  <si>
    <t>D.  LOG-LINEAR ELASTICITY ESTIMATION SETUP  (ln Emissions = α + β·ln Price + ε)</t>
  </si>
  <si>
    <t>The elasticity of emissions with respect to carbon price measures the % change in emissions for a 1% increase in price. We estimate: ln(Emissions_it) = α + β·ln(Price_it) + γ_i + δ_t + ε_it  where γ_i = jurisdiction fixed effects (controls for time-invariant differences), δ_t = year fixed effects (controls for global shocks), β = price elasticity of emissions.</t>
  </si>
  <si>
    <t>→  To run OLS in Excel:</t>
  </si>
  <si>
    <t>1. Copy columns Log_Price (I) and Log_Emissions (J) from Analysis sheet</t>
  </si>
  <si>
    <t>2. Use Data → Data Analysis → Regression (add-in) with Y=Log_Emissions, X=Log_Price</t>
  </si>
  <si>
    <t>3. The coefficient on Log_Price = estimated price elasticity of emissions (expect β &lt; 0)</t>
  </si>
  <si>
    <t>4. For panel FE: subtract jurisdiction means from each variable before regressing (within transformation)</t>
  </si>
  <si>
    <t>5. Robust SE: use the LINEST() function or copy to Stata/R for clustered standard errors</t>
  </si>
  <si>
    <t xml:space="preserve">   →  Stata code: xtreg log_emissions log_price, fe robust cluster(jurisdiction)</t>
  </si>
  <si>
    <t xml:space="preserve">   →  R code:    felm(log_emissions ~ log_price | jurisdiction + year | 0 | jurisdiction, data=df)</t>
  </si>
  <si>
    <t>E.  PRICE ADEQUACY vs. SOCIAL COST OF CARBON  ($/tCO2, High-Income Country Estimates)</t>
  </si>
  <si>
    <t>The IMF (2023) estimates an 'indicative carbon price' of $75/tCO2 for advanced economies by 2030 (low scenario: $25, high: $150).</t>
  </si>
  <si>
    <t>The US EPA Social Cost of Carbon (2023) is ~$190/tCO2 at 2% discount rate. The IPCC 1.5°C pathway requires $135–$5500/tCO2 by 2030.</t>
  </si>
  <si>
    <t>Benchmark: only ~10% of global emissions are priced above $50/tCO2 (World Bank 2024). Below we show how observed prices compare to IMF benchmarks.</t>
  </si>
  <si>
    <t>Benchmark</t>
  </si>
  <si>
    <t>Price Threshold ($/tCO2)</t>
  </si>
  <si>
    <t># Obs Meeting Threshold</t>
  </si>
  <si>
    <t>% of Observations</t>
  </si>
  <si>
    <t>Avg Emissions of Compliant</t>
  </si>
  <si>
    <t>IMF Floor (2023)</t>
  </si>
  <si>
    <t>IMF Middle (2023)</t>
  </si>
  <si>
    <t>IMF Ceiling (2030)</t>
  </si>
  <si>
    <t>US EPA SCC (2023)</t>
  </si>
  <si>
    <t>EU ETS Peak (2022)</t>
  </si>
  <si>
    <t>F.  DOUBLE DIVIDEND HYPOTHESIS  |  Revenue Use Framework</t>
  </si>
  <si>
    <t>► Concept</t>
  </si>
  <si>
    <t>The 'double dividend' theory argues carbon pricing delivers TWO benefits: (1) environmental improvement, (2) revenue recycling that reduces distortionary taxes (e.g., labor taxes), improving economic efficiency.</t>
  </si>
  <si>
    <t>► Empirical Status</t>
  </si>
  <si>
    <t>Mixed evidence. Strong form (both dividends simultaneously) rarely documented. Weak form (environmental dividend) broadly supported. Key: how revenue is recycled matters enormously.</t>
  </si>
  <si>
    <t>► Revenue Recycling Options</t>
  </si>
  <si>
    <t>Lump-sum rebates (BC carbon tax, Canada CCR), deficit reduction, green investment (EU ETS Innovation Fund), tax cuts (labor, corporate), or free allocation (mitigates competitiveness concerns).</t>
  </si>
  <si>
    <t>► Competitiveness Risk</t>
  </si>
  <si>
    <t>Carbon Border Adjustment Mechanism (CBAM): EU's solution to 'carbon leakage' — imports from non-priced economies pay an equivalent toll. Effective 2026 for cement, steel, aluminum, fertilizers, electricity, hydrogen.</t>
  </si>
  <si>
    <t>► Policy Implication</t>
  </si>
  <si>
    <t>Optimal carbon price = Social Cost of Carbon. Observed prices far below SCC in most jurisdictions. Political economy constraints (distributional concerns, lobbying, trade competitiveness) explain the gap.</t>
  </si>
  <si>
    <t>SCATTER: Carbon Price vs. Emissions  |  Latest year per jurisdiction</t>
  </si>
  <si>
    <t>CARBON PRICE TRENDS  |  Average Price by Policy Type (2015–2023, $/tCO2)</t>
  </si>
  <si>
    <t>Overall Avg</t>
  </si>
  <si>
    <t>Europe Avg</t>
  </si>
  <si>
    <t>N.America Avg</t>
  </si>
  <si>
    <t>Asia-Pacific Avg</t>
  </si>
  <si>
    <t>Latin America Avg</t>
  </si>
  <si>
    <t>Price_Real_2023USD</t>
  </si>
  <si>
    <t>Source_Note</t>
  </si>
  <si>
    <t>Albania</t>
  </si>
  <si>
    <t>World Bank State and Trends of Carbon Pricing 2024</t>
  </si>
  <si>
    <t>Australia</t>
  </si>
  <si>
    <t>Durango</t>
  </si>
  <si>
    <t>Guanajuato</t>
  </si>
  <si>
    <t>Hungary</t>
  </si>
  <si>
    <t>Indonesia</t>
  </si>
  <si>
    <t>Liechtenstein</t>
  </si>
  <si>
    <t>Montenegro</t>
  </si>
  <si>
    <t>Sweden</t>
  </si>
  <si>
    <t>Taiwan, China</t>
  </si>
  <si>
    <t>Emissions_Index_2015</t>
  </si>
  <si>
    <t>YoY_Change_Pct</t>
  </si>
  <si>
    <t>DATA SOURCES</t>
  </si>
  <si>
    <t>• World Bank — State and Trends of Carbon Pricing (2024)</t>
  </si>
  <si>
    <t>Primary source for carbon price levels, policy types, jurisdictions. Annual publication. URL: openknowledge.worldbank.org</t>
  </si>
  <si>
    <t>• EDGAR / IEA / Our World in Data</t>
  </si>
  <si>
    <t>Emissions data (MtCO2e). Cross-validated against UNFCCC national inventories for country-level jurisdictions.</t>
  </si>
  <si>
    <t>• IMF Fiscal Monitor (Oct 2023)</t>
  </si>
  <si>
    <t>Social Cost of Carbon benchmarks, IMF indicative price corridors. USD deflator/CPI inflation adjustment.</t>
  </si>
  <si>
    <t>• World Bank CPI Data</t>
  </si>
  <si>
    <t>Used to deflate nominal prices to 2023 USD (column: Price_Real_2023USD in Data_Pricing sheet).</t>
  </si>
  <si>
    <t>• EU ETS Historical Prices</t>
  </si>
  <si>
    <t>EUAs (European Union Allowances) spot prices from ICE/Refinitiv via public records.</t>
  </si>
  <si>
    <t>ACADEMIC REFERENCES</t>
  </si>
  <si>
    <t>• Goulder &amp; Schein (2013)</t>
  </si>
  <si>
    <t>Carbon taxes versus cap-and-trade: a critical review. Climate Change Economics.</t>
  </si>
  <si>
    <t>• Metcalf (2019)</t>
  </si>
  <si>
    <t>On the economics of a carbon tax for the United States. Brookings Papers on Economic Activity.</t>
  </si>
  <si>
    <t>• World Bank (2024)</t>
  </si>
  <si>
    <t>State and Trends of Carbon Pricing. Washington, DC: World Bank Group.</t>
  </si>
  <si>
    <t>• Stiglitz &amp; Stern (2017)</t>
  </si>
  <si>
    <t>Report of the High-Level Commission on Carbon Prices. Carbon Pricing Leadership Coalition.</t>
  </si>
  <si>
    <t>• Nordhaus (2017)</t>
  </si>
  <si>
    <t>Revisiting the social cost of carbon. PNAS 114(7): 1518–1523.</t>
  </si>
  <si>
    <t>• EU ETS Innovation Fund</t>
  </si>
  <si>
    <t>https://climate.ec.europa.eu/eu-action/funding-climate-action/innovation-fund_en</t>
  </si>
  <si>
    <t xml:space="preserve">  ▼  INTERACTIVE FILTERS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</si>
</sst>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"/>
    <numFmt numFmtId="165" formatCode="#,##0.00000"/>
    <numFmt numFmtId="166" formatCode="#,##0.0000"/>
    <numFmt numFmtId="167" formatCode="0.0%"/>
    <numFmt numFmtId="168" formatCode="#,##0.\4"/>
  </numFmts>
  <fonts count="34" x14ac:knownFonts="1">
    <font>
      <sz val="11"/>
      <color theme="1"/>
      <name val="Calibri"/>
      <family val="2"/>
      <charset val="1"/>
    </font>
    <font>
      <b/>
      <sz val="20"/>
      <color rgb="FFFFFFFF"/>
      <name val="Arial"/>
      <charset val="1"/>
    </font>
    <font>
      <b/>
      <sz val="9"/>
      <color rgb="FF40916C"/>
      <name val="Arial"/>
      <charset val="1"/>
    </font>
    <font>
      <b/>
      <sz val="8"/>
      <color rgb="FFAAAAAA"/>
      <name val="Arial"/>
      <charset val="1"/>
    </font>
    <font>
      <b/>
      <sz val="13"/>
      <color rgb="FF2D6A4F"/>
      <name val="Arial"/>
      <charset val="1"/>
    </font>
    <font>
      <b/>
      <sz val="8"/>
      <color rgb="FFBBBBBB"/>
      <name val="Arial"/>
      <charset val="1"/>
    </font>
    <font>
      <b/>
      <sz val="24"/>
      <color rgb="FF1B4332"/>
      <name val="Arial"/>
      <charset val="1"/>
    </font>
    <font>
      <b/>
      <sz val="24"/>
      <color rgb="FF2D6A4F"/>
      <name val="Arial"/>
      <charset val="1"/>
    </font>
    <font>
      <b/>
      <sz val="24"/>
      <color rgb="FF40916C"/>
      <name val="Arial"/>
      <charset val="1"/>
    </font>
    <font>
      <b/>
      <sz val="10"/>
      <color rgb="FFFFFFFF"/>
      <name val="Arial"/>
      <charset val="1"/>
    </font>
    <font>
      <b/>
      <sz val="9"/>
      <color rgb="FFFFFFFF"/>
      <name val="Arial"/>
      <charset val="1"/>
    </font>
    <font>
      <sz val="10"/>
      <color rgb="FF1B4332"/>
      <name val="Arial"/>
      <charset val="1"/>
    </font>
    <font>
      <sz val="10"/>
      <color rgb="FF333333"/>
      <name val="Arial"/>
      <charset val="1"/>
    </font>
    <font>
      <b/>
      <sz val="10"/>
      <color rgb="FF1B4332"/>
      <name val="Arial"/>
      <charset val="1"/>
    </font>
    <font>
      <i/>
      <sz val="8"/>
      <color rgb="FFCCCCCC"/>
      <name val="Arial"/>
      <charset val="1"/>
    </font>
    <font>
      <i/>
      <sz val="8"/>
      <color rgb="FF666666"/>
      <name val="Arial"/>
      <charset val="1"/>
    </font>
    <font>
      <sz val="9"/>
      <name val="Arial"/>
      <charset val="1"/>
    </font>
    <font>
      <b/>
      <sz val="12"/>
      <color rgb="FFFFFFFF"/>
      <name val="Arial"/>
      <charset val="1"/>
    </font>
    <font>
      <sz val="9"/>
      <color rgb="FF212121"/>
      <name val="Arial"/>
      <charset val="1"/>
    </font>
    <font>
      <sz val="9"/>
      <color rgb="FFFFFFFF"/>
      <name val="Arial"/>
      <charset val="1"/>
    </font>
    <font>
      <b/>
      <sz val="14"/>
      <color rgb="FFFFFFFF"/>
      <name val="Arial"/>
      <charset val="1"/>
    </font>
    <font>
      <b/>
      <sz val="11"/>
      <color rgb="FFFFFFFF"/>
      <name val="Arial"/>
      <charset val="1"/>
    </font>
    <font>
      <b/>
      <sz val="9"/>
      <color rgb="FF003366"/>
      <name val="Arial"/>
      <charset val="1"/>
    </font>
    <font>
      <b/>
      <sz val="9"/>
      <color rgb="FF212121"/>
      <name val="Arial"/>
      <charset val="1"/>
    </font>
    <font>
      <b/>
      <sz val="9"/>
      <color rgb="FF1A237E"/>
      <name val="Arial"/>
      <charset val="1"/>
    </font>
    <font>
      <b/>
      <sz val="9"/>
      <color rgb="FF004D40"/>
      <name val="Arial"/>
      <charset val="1"/>
    </font>
    <font>
      <i/>
      <sz val="9"/>
      <color rgb="FF4A148C"/>
      <name val="Arial"/>
      <charset val="1"/>
    </font>
    <font>
      <b/>
      <sz val="10"/>
      <color rgb="FF4A148C"/>
      <name val="Arial"/>
      <charset val="1"/>
    </font>
    <font>
      <sz val="9"/>
      <color rgb="FF333333"/>
      <name val="Arial"/>
      <charset val="1"/>
    </font>
    <font>
      <i/>
      <sz val="9"/>
      <color rgb="FF333333"/>
      <name val="Arial"/>
      <charset val="1"/>
    </font>
    <font>
      <i/>
      <sz val="9"/>
      <color rgb="FF555555"/>
      <name val="Arial"/>
      <charset val="1"/>
    </font>
    <font>
      <b/>
      <sz val="9"/>
      <color rgb="FFBF360C"/>
      <name val="Arial"/>
      <charset val="1"/>
    </font>
    <font>
      <b/>
      <sz val="9"/>
      <color rgb="FF006064"/>
      <name val="Arial"/>
      <charset val="1"/>
    </font>
    <font>
      <b/>
      <sz val="9"/>
      <color rgb="FF37474F"/>
      <name val="Arial"/>
      <charset val="1"/>
    </font>
  </fonts>
  <fills count="33">
    <fill>
      <patternFill patternType="none"/>
    </fill>
    <fill>
      <patternFill patternType="gray125"/>
    </fill>
    <fill>
      <patternFill patternType="solid">
        <fgColor rgb="FF1B4332"/>
        <bgColor rgb="FF004D40"/>
      </patternFill>
    </fill>
    <fill>
      <patternFill patternType="solid">
        <fgColor rgb="FFF2FAF5"/>
        <bgColor rgb="FFF5F5F5"/>
      </patternFill>
    </fill>
    <fill>
      <patternFill patternType="solid">
        <fgColor rgb="FFFFFFFF"/>
        <bgColor rgb="FFFAFAFA"/>
      </patternFill>
    </fill>
    <fill>
      <patternFill patternType="solid">
        <fgColor rgb="FF2D6A4F"/>
        <bgColor rgb="FF2E7D32"/>
      </patternFill>
    </fill>
    <fill>
      <patternFill patternType="solid">
        <fgColor rgb="FFD8F3DC"/>
        <bgColor rgb="FFE0F2F1"/>
      </patternFill>
    </fill>
    <fill>
      <patternFill patternType="solid">
        <fgColor rgb="FF4527A0"/>
        <bgColor rgb="FF4A148C"/>
      </patternFill>
    </fill>
    <fill>
      <patternFill patternType="solid">
        <fgColor rgb="FFEDE7F6"/>
        <bgColor rgb="FFE8EAF6"/>
      </patternFill>
    </fill>
    <fill>
      <patternFill patternType="solid">
        <fgColor rgb="FFF8F5FF"/>
        <bgColor rgb="FFF5F5F5"/>
      </patternFill>
    </fill>
    <fill>
      <patternFill patternType="solid">
        <fgColor rgb="FF003366"/>
        <bgColor rgb="FF1A237E"/>
      </patternFill>
    </fill>
    <fill>
      <patternFill patternType="solid">
        <fgColor rgb="FFF5F5F5"/>
        <bgColor rgb="FFF8F5FF"/>
      </patternFill>
    </fill>
    <fill>
      <patternFill patternType="solid">
        <fgColor rgb="FFB71C1C"/>
        <bgColor rgb="FFBF360C"/>
      </patternFill>
    </fill>
    <fill>
      <patternFill patternType="solid">
        <fgColor rgb="FF8BC34A"/>
        <bgColor rgb="FFAED581"/>
      </patternFill>
    </fill>
    <fill>
      <patternFill patternType="solid">
        <fgColor rgb="FFF9A825"/>
        <bgColor rgb="FFF57F17"/>
      </patternFill>
    </fill>
    <fill>
      <patternFill patternType="solid">
        <fgColor rgb="FFE65100"/>
        <bgColor rgb="FFBF360C"/>
      </patternFill>
    </fill>
    <fill>
      <patternFill patternType="solid">
        <fgColor rgb="FFAED581"/>
        <bgColor rgb="FFBFBFBF"/>
      </patternFill>
    </fill>
    <fill>
      <patternFill patternType="solid">
        <fgColor rgb="FFDCEDC8"/>
        <bgColor rgb="FFD8F3DC"/>
      </patternFill>
    </fill>
    <fill>
      <patternFill patternType="solid">
        <fgColor rgb="FF37474F"/>
        <bgColor rgb="FF333333"/>
      </patternFill>
    </fill>
    <fill>
      <patternFill patternType="solid">
        <fgColor rgb="FFE8EAF6"/>
        <bgColor rgb="FFEDE7F6"/>
      </patternFill>
    </fill>
    <fill>
      <patternFill patternType="solid">
        <fgColor rgb="FFFFEBEE"/>
        <bgColor rgb="FFFBE9E7"/>
      </patternFill>
    </fill>
    <fill>
      <patternFill patternType="solid">
        <fgColor rgb="FF1A237E"/>
        <bgColor rgb="FF003366"/>
      </patternFill>
    </fill>
    <fill>
      <patternFill patternType="solid">
        <fgColor rgb="FF004D40"/>
        <bgColor rgb="FF1B4332"/>
      </patternFill>
    </fill>
    <fill>
      <patternFill patternType="solid">
        <fgColor rgb="FFE0F2F1"/>
        <bgColor rgb="FFE0F7FA"/>
      </patternFill>
    </fill>
    <fill>
      <patternFill patternType="solid">
        <fgColor rgb="FF4A148C"/>
        <bgColor rgb="FF4527A0"/>
      </patternFill>
    </fill>
    <fill>
      <patternFill patternType="solid">
        <fgColor rgb="FFF3E5F5"/>
        <bgColor rgb="FFEDE7F6"/>
      </patternFill>
    </fill>
    <fill>
      <patternFill patternType="solid">
        <fgColor rgb="FFBF360C"/>
        <bgColor rgb="FFB71C1C"/>
      </patternFill>
    </fill>
    <fill>
      <patternFill patternType="solid">
        <fgColor rgb="FFFBE9E7"/>
        <bgColor rgb="FFFFEBEE"/>
      </patternFill>
    </fill>
    <fill>
      <patternFill patternType="solid">
        <fgColor rgb="FFFFCCBC"/>
        <bgColor rgb="FFD9D9D9"/>
      </patternFill>
    </fill>
    <fill>
      <patternFill patternType="solid">
        <fgColor rgb="FF006064"/>
        <bgColor rgb="FF004D40"/>
      </patternFill>
    </fill>
    <fill>
      <patternFill patternType="solid">
        <fgColor rgb="FFE0F7FA"/>
        <bgColor rgb="FFE0F2F1"/>
      </patternFill>
    </fill>
    <fill>
      <patternFill patternType="solid">
        <fgColor rgb="FF2E7D32"/>
        <bgColor rgb="FF2D6A4F"/>
      </patternFill>
    </fill>
    <fill>
      <patternFill patternType="solid">
        <fgColor rgb="FFE8F5E9"/>
        <bgColor rgb="FFE0F2F1"/>
      </patternFill>
    </fill>
  </fills>
  <borders count="7">
    <border>
      <left/>
      <right/>
      <top/>
      <bottom/>
      <diagonal/>
    </border>
    <border>
      <left style="medium">
        <color rgb="FF40916C"/>
      </left>
      <right style="medium">
        <color rgb="FF40916C"/>
      </right>
      <top style="medium">
        <color rgb="FF40916C"/>
      </top>
      <bottom style="medium">
        <color rgb="FF40916C"/>
      </bottom>
      <diagonal/>
    </border>
    <border>
      <left/>
      <right/>
      <top/>
      <bottom style="medium">
        <color rgb="FF1B4332"/>
      </bottom>
      <diagonal/>
    </border>
    <border>
      <left/>
      <right/>
      <top/>
      <bottom style="medium">
        <color rgb="FF2D6A4F"/>
      </bottom>
      <diagonal/>
    </border>
    <border>
      <left/>
      <right/>
      <top/>
      <bottom style="medium">
        <color rgb="FF40916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21" fillId="21" borderId="0" xfId="0" applyFont="1" applyFill="1" applyBorder="1" applyAlignment="1">
      <alignment horizontal="left" vertical="center" indent="1"/>
    </xf>
    <xf numFmtId="0" fontId="21" fillId="18" borderId="0" xfId="0" applyFont="1" applyFill="1" applyBorder="1" applyAlignment="1">
      <alignment horizontal="left" vertical="center" indent="1"/>
    </xf>
    <xf numFmtId="0" fontId="20" fillId="12" borderId="0" xfId="0" applyFont="1" applyFill="1" applyBorder="1" applyAlignment="1">
      <alignment horizontal="center" vertical="center"/>
    </xf>
    <xf numFmtId="0" fontId="16" fillId="0" borderId="0" xfId="0" applyFont="1" applyBorder="1" applyAlignment="1">
      <alignment horizontal="center"/>
    </xf>
    <xf numFmtId="0" fontId="17" fillId="7" borderId="0" xfId="0" applyFont="1" applyFill="1" applyBorder="1" applyAlignment="1">
      <alignment horizontal="center" vertical="center"/>
    </xf>
    <xf numFmtId="0" fontId="14" fillId="0" borderId="0" xfId="0" applyFont="1" applyBorder="1" applyAlignment="1">
      <alignment horizontal="left" vertical="center"/>
    </xf>
    <xf numFmtId="0" fontId="9" fillId="2" borderId="0" xfId="0" applyFont="1" applyFill="1" applyBorder="1" applyAlignment="1">
      <alignment horizontal="left" vertical="center"/>
    </xf>
    <xf numFmtId="3" fontId="8" fillId="4" borderId="4" xfId="0" applyNumberFormat="1" applyFont="1" applyFill="1" applyBorder="1" applyAlignment="1">
      <alignment horizontal="center" vertical="center"/>
    </xf>
    <xf numFmtId="164" fontId="7" fillId="4" borderId="3" xfId="0" applyNumberFormat="1" applyFont="1" applyFill="1" applyBorder="1" applyAlignment="1">
      <alignment horizontal="center" vertical="center"/>
    </xf>
    <xf numFmtId="3" fontId="6" fillId="4" borderId="2" xfId="0" applyNumberFormat="1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left" vertical="center"/>
    </xf>
    <xf numFmtId="0" fontId="0" fillId="0" borderId="0" xfId="0" applyAlignment="1"/>
    <xf numFmtId="0" fontId="3" fillId="3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4" borderId="0" xfId="0" applyFill="1" applyAlignment="1"/>
    <xf numFmtId="0" fontId="5" fillId="4" borderId="0" xfId="0" applyFont="1" applyFill="1" applyAlignment="1">
      <alignment horizontal="center"/>
    </xf>
    <xf numFmtId="3" fontId="6" fillId="4" borderId="2" xfId="0" applyNumberFormat="1" applyFont="1" applyFill="1" applyBorder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left" vertical="center"/>
    </xf>
    <xf numFmtId="3" fontId="12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left" vertical="center"/>
    </xf>
    <xf numFmtId="3" fontId="12" fillId="3" borderId="0" xfId="0" applyNumberFormat="1" applyFont="1" applyFill="1" applyAlignment="1">
      <alignment horizontal="center" vertical="center"/>
    </xf>
    <xf numFmtId="164" fontId="12" fillId="3" borderId="0" xfId="0" applyNumberFormat="1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left" vertical="center"/>
    </xf>
    <xf numFmtId="3" fontId="13" fillId="6" borderId="0" xfId="0" applyNumberFormat="1" applyFont="1" applyFill="1" applyAlignment="1">
      <alignment horizontal="center" vertical="center"/>
    </xf>
    <xf numFmtId="164" fontId="13" fillId="6" borderId="0" xfId="0" applyNumberFormat="1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9" fillId="7" borderId="5" xfId="0" applyFont="1" applyFill="1" applyBorder="1" applyAlignment="1">
      <alignment horizontal="center" vertical="center" wrapText="1"/>
    </xf>
    <xf numFmtId="0" fontId="15" fillId="8" borderId="0" xfId="0" applyFont="1" applyFill="1" applyAlignment="1">
      <alignment horizontal="center" vertical="center" wrapText="1"/>
    </xf>
    <xf numFmtId="49" fontId="16" fillId="9" borderId="6" xfId="0" applyNumberFormat="1" applyFont="1" applyFill="1" applyBorder="1" applyAlignment="1">
      <alignment horizontal="left" vertical="center"/>
    </xf>
    <xf numFmtId="49" fontId="16" fillId="9" borderId="6" xfId="0" applyNumberFormat="1" applyFont="1" applyFill="1" applyBorder="1" applyAlignment="1">
      <alignment horizontal="center" vertical="center"/>
    </xf>
    <xf numFmtId="4" fontId="16" fillId="9" borderId="6" xfId="0" applyNumberFormat="1" applyFont="1" applyFill="1" applyBorder="1" applyAlignment="1">
      <alignment horizontal="center" vertical="center"/>
    </xf>
    <xf numFmtId="164" fontId="16" fillId="9" borderId="6" xfId="0" applyNumberFormat="1" applyFont="1" applyFill="1" applyBorder="1" applyAlignment="1">
      <alignment horizontal="center" vertical="center"/>
    </xf>
    <xf numFmtId="165" fontId="16" fillId="9" borderId="6" xfId="0" applyNumberFormat="1" applyFont="1" applyFill="1" applyBorder="1" applyAlignment="1">
      <alignment horizontal="center" vertical="center"/>
    </xf>
    <xf numFmtId="166" fontId="16" fillId="9" borderId="6" xfId="0" applyNumberFormat="1" applyFont="1" applyFill="1" applyBorder="1" applyAlignment="1">
      <alignment horizontal="center" vertical="center"/>
    </xf>
    <xf numFmtId="49" fontId="16" fillId="0" borderId="6" xfId="0" applyNumberFormat="1" applyFont="1" applyBorder="1" applyAlignment="1">
      <alignment horizontal="left" vertical="center"/>
    </xf>
    <xf numFmtId="49" fontId="16" fillId="0" borderId="6" xfId="0" applyNumberFormat="1" applyFont="1" applyBorder="1" applyAlignment="1">
      <alignment horizontal="center" vertical="center"/>
    </xf>
    <xf numFmtId="4" fontId="16" fillId="0" borderId="6" xfId="0" applyNumberFormat="1" applyFont="1" applyBorder="1" applyAlignment="1">
      <alignment horizontal="center" vertical="center"/>
    </xf>
    <xf numFmtId="164" fontId="16" fillId="0" borderId="6" xfId="0" applyNumberFormat="1" applyFont="1" applyBorder="1" applyAlignment="1">
      <alignment horizontal="center" vertical="center"/>
    </xf>
    <xf numFmtId="165" fontId="16" fillId="0" borderId="6" xfId="0" applyNumberFormat="1" applyFont="1" applyBorder="1" applyAlignment="1">
      <alignment horizontal="center" vertical="center"/>
    </xf>
    <xf numFmtId="166" fontId="16" fillId="0" borderId="6" xfId="0" applyNumberFormat="1" applyFont="1" applyBorder="1" applyAlignment="1">
      <alignment horizontal="center" vertical="center"/>
    </xf>
    <xf numFmtId="0" fontId="10" fillId="10" borderId="0" xfId="0" applyFont="1" applyFill="1" applyAlignment="1">
      <alignment horizontal="center" vertical="center"/>
    </xf>
    <xf numFmtId="0" fontId="16" fillId="11" borderId="0" xfId="0" applyFont="1" applyFill="1" applyAlignment="1">
      <alignment horizontal="left" vertical="center" indent="1"/>
    </xf>
    <xf numFmtId="164" fontId="18" fillId="11" borderId="0" xfId="0" applyNumberFormat="1" applyFont="1" applyFill="1" applyAlignment="1">
      <alignment horizontal="center" vertical="center"/>
    </xf>
    <xf numFmtId="164" fontId="19" fillId="12" borderId="0" xfId="0" applyNumberFormat="1" applyFont="1" applyFill="1" applyAlignment="1">
      <alignment horizontal="center" vertical="center"/>
    </xf>
    <xf numFmtId="0" fontId="16" fillId="4" borderId="0" xfId="0" applyFont="1" applyFill="1" applyAlignment="1">
      <alignment horizontal="left" vertical="center" indent="1"/>
    </xf>
    <xf numFmtId="164" fontId="18" fillId="13" borderId="0" xfId="0" applyNumberFormat="1" applyFont="1" applyFill="1" applyAlignment="1">
      <alignment horizontal="center" vertical="center"/>
    </xf>
    <xf numFmtId="164" fontId="19" fillId="14" borderId="0" xfId="0" applyNumberFormat="1" applyFont="1" applyFill="1" applyAlignment="1">
      <alignment horizontal="center" vertical="center"/>
    </xf>
    <xf numFmtId="164" fontId="19" fillId="15" borderId="0" xfId="0" applyNumberFormat="1" applyFont="1" applyFill="1" applyAlignment="1">
      <alignment horizontal="center" vertical="center"/>
    </xf>
    <xf numFmtId="164" fontId="18" fillId="16" borderId="0" xfId="0" applyNumberFormat="1" applyFont="1" applyFill="1" applyAlignment="1">
      <alignment horizontal="center" vertical="center"/>
    </xf>
    <xf numFmtId="164" fontId="18" fillId="17" borderId="0" xfId="0" applyNumberFormat="1" applyFont="1" applyFill="1" applyAlignment="1">
      <alignment horizontal="center" vertical="center"/>
    </xf>
    <xf numFmtId="0" fontId="22" fillId="19" borderId="5" xfId="0" applyFont="1" applyFill="1" applyBorder="1" applyAlignment="1">
      <alignment horizontal="center" vertical="center"/>
    </xf>
    <xf numFmtId="49" fontId="18" fillId="11" borderId="5" xfId="0" applyNumberFormat="1" applyFont="1" applyFill="1" applyBorder="1" applyAlignment="1">
      <alignment horizontal="left" vertical="center" indent="1"/>
    </xf>
    <xf numFmtId="3" fontId="18" fillId="11" borderId="5" xfId="0" applyNumberFormat="1" applyFont="1" applyFill="1" applyBorder="1" applyAlignment="1">
      <alignment horizontal="center" vertical="center"/>
    </xf>
    <xf numFmtId="164" fontId="18" fillId="11" borderId="5" xfId="0" applyNumberFormat="1" applyFont="1" applyFill="1" applyBorder="1" applyAlignment="1">
      <alignment horizontal="center" vertical="center"/>
    </xf>
    <xf numFmtId="49" fontId="18" fillId="4" borderId="5" xfId="0" applyNumberFormat="1" applyFont="1" applyFill="1" applyBorder="1" applyAlignment="1">
      <alignment horizontal="left" vertical="center" indent="1"/>
    </xf>
    <xf numFmtId="3" fontId="18" fillId="4" borderId="5" xfId="0" applyNumberFormat="1" applyFont="1" applyFill="1" applyBorder="1" applyAlignment="1">
      <alignment horizontal="center" vertical="center"/>
    </xf>
    <xf numFmtId="164" fontId="18" fillId="4" borderId="5" xfId="0" applyNumberFormat="1" applyFont="1" applyFill="1" applyBorder="1" applyAlignment="1">
      <alignment horizontal="center" vertical="center"/>
    </xf>
    <xf numFmtId="49" fontId="23" fillId="20" borderId="5" xfId="0" applyNumberFormat="1" applyFont="1" applyFill="1" applyBorder="1" applyAlignment="1">
      <alignment horizontal="left" vertical="center" indent="1"/>
    </xf>
    <xf numFmtId="3" fontId="23" fillId="20" borderId="5" xfId="0" applyNumberFormat="1" applyFont="1" applyFill="1" applyBorder="1" applyAlignment="1">
      <alignment horizontal="center" vertical="center"/>
    </xf>
    <xf numFmtId="164" fontId="23" fillId="20" borderId="5" xfId="0" applyNumberFormat="1" applyFont="1" applyFill="1" applyBorder="1" applyAlignment="1">
      <alignment horizontal="center" vertical="center"/>
    </xf>
    <xf numFmtId="0" fontId="24" fillId="19" borderId="5" xfId="0" applyFont="1" applyFill="1" applyBorder="1" applyAlignment="1">
      <alignment horizontal="center" vertical="center" wrapText="1"/>
    </xf>
    <xf numFmtId="49" fontId="18" fillId="19" borderId="5" xfId="0" applyNumberFormat="1" applyFont="1" applyFill="1" applyBorder="1" applyAlignment="1">
      <alignment horizontal="center" vertical="center"/>
    </xf>
    <xf numFmtId="4" fontId="18" fillId="19" borderId="5" xfId="0" applyNumberFormat="1" applyFont="1" applyFill="1" applyBorder="1" applyAlignment="1">
      <alignment horizontal="center" vertical="center"/>
    </xf>
    <xf numFmtId="164" fontId="18" fillId="19" borderId="5" xfId="0" applyNumberFormat="1" applyFont="1" applyFill="1" applyBorder="1" applyAlignment="1">
      <alignment horizontal="center" vertical="center"/>
    </xf>
    <xf numFmtId="49" fontId="18" fillId="4" borderId="5" xfId="0" applyNumberFormat="1" applyFont="1" applyFill="1" applyBorder="1" applyAlignment="1">
      <alignment horizontal="center" vertical="center"/>
    </xf>
    <xf numFmtId="4" fontId="18" fillId="4" borderId="5" xfId="0" applyNumberFormat="1" applyFont="1" applyFill="1" applyBorder="1" applyAlignment="1">
      <alignment horizontal="center" vertical="center"/>
    </xf>
    <xf numFmtId="167" fontId="18" fillId="4" borderId="5" xfId="0" applyNumberFormat="1" applyFont="1" applyFill="1" applyBorder="1" applyAlignment="1">
      <alignment horizontal="center" vertical="center"/>
    </xf>
    <xf numFmtId="167" fontId="18" fillId="19" borderId="5" xfId="0" applyNumberFormat="1" applyFont="1" applyFill="1" applyBorder="1" applyAlignment="1">
      <alignment horizontal="center" vertical="center"/>
    </xf>
    <xf numFmtId="0" fontId="25" fillId="23" borderId="5" xfId="0" applyFont="1" applyFill="1" applyBorder="1" applyAlignment="1">
      <alignment horizontal="center" vertical="center"/>
    </xf>
    <xf numFmtId="49" fontId="18" fillId="23" borderId="5" xfId="0" applyNumberFormat="1" applyFont="1" applyFill="1" applyBorder="1" applyAlignment="1">
      <alignment horizontal="left" vertical="center" indent="1"/>
    </xf>
    <xf numFmtId="3" fontId="18" fillId="23" borderId="5" xfId="0" applyNumberFormat="1" applyFont="1" applyFill="1" applyBorder="1" applyAlignment="1">
      <alignment horizontal="center" vertical="center"/>
    </xf>
    <xf numFmtId="4" fontId="18" fillId="23" borderId="5" xfId="0" applyNumberFormat="1" applyFont="1" applyFill="1" applyBorder="1" applyAlignment="1">
      <alignment horizontal="center" vertical="center"/>
    </xf>
    <xf numFmtId="164" fontId="18" fillId="23" borderId="5" xfId="0" applyNumberFormat="1" applyFont="1" applyFill="1" applyBorder="1" applyAlignment="1">
      <alignment horizontal="center" vertical="center"/>
    </xf>
    <xf numFmtId="168" fontId="18" fillId="4" borderId="5" xfId="0" applyNumberFormat="1" applyFont="1" applyFill="1" applyBorder="1" applyAlignment="1">
      <alignment horizontal="center" vertical="center"/>
    </xf>
    <xf numFmtId="0" fontId="31" fillId="28" borderId="5" xfId="0" applyFont="1" applyFill="1" applyBorder="1" applyAlignment="1">
      <alignment horizontal="center" vertical="center" wrapText="1"/>
    </xf>
    <xf numFmtId="49" fontId="18" fillId="27" borderId="5" xfId="0" applyNumberFormat="1" applyFont="1" applyFill="1" applyBorder="1" applyAlignment="1">
      <alignment horizontal="left" vertical="center" indent="1"/>
    </xf>
    <xf numFmtId="3" fontId="18" fillId="27" borderId="5" xfId="0" applyNumberFormat="1" applyFont="1" applyFill="1" applyBorder="1" applyAlignment="1">
      <alignment horizontal="center" vertical="center"/>
    </xf>
    <xf numFmtId="167" fontId="18" fillId="27" borderId="5" xfId="0" applyNumberFormat="1" applyFont="1" applyFill="1" applyBorder="1" applyAlignment="1">
      <alignment horizontal="center" vertical="center"/>
    </xf>
    <xf numFmtId="164" fontId="18" fillId="27" borderId="5" xfId="0" applyNumberFormat="1" applyFont="1" applyFill="1" applyBorder="1" applyAlignment="1">
      <alignment horizontal="center" vertical="center"/>
    </xf>
    <xf numFmtId="0" fontId="10" fillId="31" borderId="0" xfId="0" applyFont="1" applyFill="1" applyAlignment="1"/>
    <xf numFmtId="0" fontId="16" fillId="32" borderId="0" xfId="0" applyFont="1" applyFill="1" applyAlignment="1"/>
    <xf numFmtId="4" fontId="16" fillId="32" borderId="0" xfId="0" applyNumberFormat="1" applyFont="1" applyFill="1" applyAlignment="1"/>
    <xf numFmtId="0" fontId="16" fillId="0" borderId="0" xfId="0" applyFont="1" applyAlignment="1"/>
    <xf numFmtId="4" fontId="16" fillId="0" borderId="0" xfId="0" applyNumberFormat="1" applyFont="1" applyAlignment="1"/>
    <xf numFmtId="4" fontId="16" fillId="19" borderId="0" xfId="0" applyNumberFormat="1" applyFont="1" applyFill="1" applyAlignment="1">
      <alignment horizontal="center"/>
    </xf>
    <xf numFmtId="4" fontId="16" fillId="0" borderId="0" xfId="0" applyNumberFormat="1" applyFont="1" applyAlignment="1">
      <alignment horizontal="center"/>
    </xf>
    <xf numFmtId="0" fontId="9" fillId="10" borderId="5" xfId="0" applyFont="1" applyFill="1" applyBorder="1" applyAlignment="1">
      <alignment horizontal="center" vertical="center"/>
    </xf>
    <xf numFmtId="0" fontId="16" fillId="11" borderId="6" xfId="0" applyFont="1" applyFill="1" applyBorder="1" applyAlignment="1">
      <alignment horizontal="left" vertical="center"/>
    </xf>
    <xf numFmtId="0" fontId="16" fillId="11" borderId="6" xfId="0" applyFont="1" applyFill="1" applyBorder="1" applyAlignment="1">
      <alignment horizontal="center" vertical="center"/>
    </xf>
    <xf numFmtId="4" fontId="16" fillId="11" borderId="6" xfId="0" applyNumberFormat="1" applyFont="1" applyFill="1" applyBorder="1" applyAlignment="1">
      <alignment horizontal="center" vertical="center"/>
    </xf>
    <xf numFmtId="0" fontId="16" fillId="0" borderId="6" xfId="0" applyFont="1" applyBorder="1" applyAlignment="1">
      <alignment horizontal="left" vertical="center"/>
    </xf>
    <xf numFmtId="0" fontId="16" fillId="0" borderId="6" xfId="0" applyFont="1" applyBorder="1" applyAlignment="1">
      <alignment horizontal="center" vertical="center"/>
    </xf>
    <xf numFmtId="0" fontId="9" fillId="31" borderId="5" xfId="0" applyFont="1" applyFill="1" applyBorder="1" applyAlignment="1">
      <alignment horizontal="center" vertical="center"/>
    </xf>
    <xf numFmtId="164" fontId="16" fillId="11" borderId="6" xfId="0" applyNumberFormat="1" applyFont="1" applyFill="1" applyBorder="1" applyAlignment="1">
      <alignment horizontal="center" vertical="center"/>
    </xf>
    <xf numFmtId="0" fontId="33" fillId="11" borderId="0" xfId="0" applyFont="1" applyFill="1" applyAlignment="1">
      <alignment horizontal="left" vertical="center" indent="1"/>
    </xf>
    <xf numFmtId="0" fontId="18" fillId="11" borderId="0" xfId="0" applyFont="1" applyFill="1" applyAlignment="1">
      <alignment horizontal="left" vertical="center" wrapText="1" indent="1"/>
    </xf>
    <xf numFmtId="0" fontId="33" fillId="4" borderId="0" xfId="0" applyFont="1" applyFill="1" applyAlignment="1">
      <alignment horizontal="left" vertical="center" indent="1"/>
    </xf>
    <xf numFmtId="0" fontId="18" fillId="4" borderId="0" xfId="0" applyFont="1" applyFill="1" applyAlignment="1">
      <alignment horizontal="left" vertical="center" wrapText="1" indent="1"/>
    </xf>
    <xf numFmtId="0" fontId="25" fillId="11" borderId="0" xfId="0" applyFont="1" applyFill="1" applyAlignment="1">
      <alignment horizontal="left" vertical="center" indent="1"/>
    </xf>
    <xf numFmtId="0" fontId="25" fillId="4" borderId="0" xfId="0" applyFont="1" applyFill="1" applyAlignment="1">
      <alignment horizontal="left" vertical="center" indent="1"/>
    </xf>
    <xf numFmtId="0" fontId="21" fillId="22" borderId="0" xfId="0" applyFont="1" applyFill="1" applyBorder="1" applyAlignment="1">
      <alignment horizontal="left" vertical="center" indent="1"/>
    </xf>
    <xf numFmtId="0" fontId="21" fillId="24" borderId="0" xfId="0" applyFont="1" applyFill="1" applyBorder="1" applyAlignment="1">
      <alignment horizontal="left" vertical="center" indent="1"/>
    </xf>
    <xf numFmtId="0" fontId="26" fillId="8" borderId="0" xfId="0" applyFont="1" applyFill="1" applyBorder="1" applyAlignment="1">
      <alignment horizontal="left" vertical="center" wrapText="1"/>
    </xf>
    <xf numFmtId="0" fontId="27" fillId="8" borderId="0" xfId="0" applyFont="1" applyFill="1" applyBorder="1" applyAlignment="1"/>
    <xf numFmtId="0" fontId="28" fillId="25" borderId="0" xfId="0" applyFont="1" applyFill="1" applyBorder="1" applyAlignment="1">
      <alignment horizontal="left" vertical="center" indent="2"/>
    </xf>
    <xf numFmtId="0" fontId="28" fillId="8" borderId="0" xfId="0" applyFont="1" applyFill="1" applyBorder="1" applyAlignment="1">
      <alignment horizontal="left" vertical="center" indent="2"/>
    </xf>
    <xf numFmtId="0" fontId="29" fillId="25" borderId="0" xfId="0" applyFont="1" applyFill="1" applyBorder="1" applyAlignment="1">
      <alignment horizontal="left" vertical="center" indent="2"/>
    </xf>
    <xf numFmtId="0" fontId="29" fillId="8" borderId="0" xfId="0" applyFont="1" applyFill="1" applyBorder="1" applyAlignment="1">
      <alignment horizontal="left" vertical="center" indent="2"/>
    </xf>
    <xf numFmtId="0" fontId="21" fillId="26" borderId="0" xfId="0" applyFont="1" applyFill="1" applyBorder="1" applyAlignment="1">
      <alignment horizontal="left" vertical="center" indent="1"/>
    </xf>
    <xf numFmtId="0" fontId="30" fillId="27" borderId="0" xfId="0" applyFont="1" applyFill="1" applyBorder="1" applyAlignment="1">
      <alignment horizontal="left" vertical="center" wrapText="1" indent="1"/>
    </xf>
    <xf numFmtId="0" fontId="21" fillId="29" borderId="0" xfId="0" applyFont="1" applyFill="1" applyBorder="1" applyAlignment="1">
      <alignment horizontal="left" vertical="center" indent="1"/>
    </xf>
    <xf numFmtId="0" fontId="32" fillId="30" borderId="0" xfId="0" applyFont="1" applyFill="1" applyBorder="1" applyAlignment="1">
      <alignment horizontal="left" vertical="center" indent="1"/>
    </xf>
    <xf numFmtId="0" fontId="28" fillId="4" borderId="0" xfId="0" applyFont="1" applyFill="1" applyBorder="1" applyAlignment="1">
      <alignment horizontal="left" vertical="center" wrapText="1" indent="2"/>
    </xf>
    <xf numFmtId="0" fontId="17" fillId="31" borderId="0" xfId="0" applyFont="1" applyFill="1" applyBorder="1" applyAlignment="1">
      <alignment horizontal="center" vertical="center"/>
    </xf>
    <xf numFmtId="0" fontId="17" fillId="10" borderId="0" xfId="0" applyFont="1" applyFill="1" applyBorder="1" applyAlignment="1">
      <alignment horizontal="center" vertical="center"/>
    </xf>
    <xf numFmtId="0" fontId="20" fillId="18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8F5FF"/>
      <rgbColor rgb="FFF5F5F5"/>
      <rgbColor rgb="FF0000FF"/>
      <rgbColor rgb="FFAED581"/>
      <rgbColor rgb="FFF3E5F5"/>
      <rgbColor rgb="FFE8F5E9"/>
      <rgbColor rgb="FFFAFAFA"/>
      <rgbColor rgb="FF2E7D32"/>
      <rgbColor rgb="FF1A237E"/>
      <rgbColor rgb="FF666666"/>
      <rgbColor rgb="FF37474F"/>
      <rgbColor rgb="FF006064"/>
      <rgbColor rgb="FFBFBFBF"/>
      <rgbColor rgb="FF878787"/>
      <rgbColor rgb="FF8EA5CA"/>
      <rgbColor rgb="FFB71C1C"/>
      <rgbColor rgb="FFF2FAF5"/>
      <rgbColor rgb="FFE0F7FA"/>
      <rgbColor rgb="FF4A148C"/>
      <rgbColor rgb="FFDB8238"/>
      <rgbColor rgb="FF1565C0"/>
      <rgbColor rgb="FFCCCCCC"/>
      <rgbColor rgb="FF004D40"/>
      <rgbColor rgb="FFFFEBEE"/>
      <rgbColor rgb="FFFBE9E7"/>
      <rgbColor rgb="FFE8EAF6"/>
      <rgbColor rgb="FF555555"/>
      <rgbColor rgb="FF800000"/>
      <rgbColor rgb="FF2D6A4F"/>
      <rgbColor rgb="FF0000FF"/>
      <rgbColor rgb="FFEDE7F6"/>
      <rgbColor rgb="FFE0F2F1"/>
      <rgbColor rgb="FFD8F3DC"/>
      <rgbColor rgb="FFDCEDC8"/>
      <rgbColor rgb="FFBBBBBB"/>
      <rgbColor rgb="FFD9D9D9"/>
      <rgbColor rgb="FFAAAAAA"/>
      <rgbColor rgb="FFFFCCBC"/>
      <rgbColor rgb="FF4F81BD"/>
      <rgbColor rgb="FF3D97AF"/>
      <rgbColor rgb="FF8BC34A"/>
      <rgbColor rgb="FFF57F17"/>
      <rgbColor rgb="FFF9A825"/>
      <rgbColor rgb="FFE65100"/>
      <rgbColor rgb="FF6F568D"/>
      <rgbColor rgb="FF999999"/>
      <rgbColor rgb="FF003366"/>
      <rgbColor rgb="FF40916C"/>
      <rgbColor rgb="FF1B4332"/>
      <rgbColor rgb="FF212121"/>
      <rgbColor rgb="FFBF360C"/>
      <rgbColor rgb="FF595959"/>
      <rgbColor rgb="FF4527A0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Log(Price) vs Log(Emissions) — Latest Year by Jurisdiction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Jurisdictions</c:v>
          </c:tx>
          <c:spPr>
            <a:ln w="25560">
              <a:noFill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Chart_Scatter!$F$3:$F$65</c:f>
              <c:numCache>
                <c:formatCode>#,##0.00</c:formatCode>
                <c:ptCount val="63"/>
                <c:pt idx="0">
                  <c:v>3.8717999999999999</c:v>
                </c:pt>
                <c:pt idx="1">
                  <c:v>1.6033999999999999</c:v>
                </c:pt>
                <c:pt idx="2">
                  <c:v>3.5649999999999999</c:v>
                </c:pt>
                <c:pt idx="3">
                  <c:v>2.1187</c:v>
                </c:pt>
                <c:pt idx="4">
                  <c:v>2.5619000000000001</c:v>
                </c:pt>
                <c:pt idx="5">
                  <c:v>3.8717999999999999</c:v>
                </c:pt>
                <c:pt idx="6">
                  <c:v>3.3957999999999999</c:v>
                </c:pt>
                <c:pt idx="7">
                  <c:v>3.8717999999999999</c:v>
                </c:pt>
                <c:pt idx="8">
                  <c:v>1.6093999999999999</c:v>
                </c:pt>
                <c:pt idx="9">
                  <c:v>2.0979999999999999</c:v>
                </c:pt>
                <c:pt idx="10">
                  <c:v>1.5389999999999999</c:v>
                </c:pt>
                <c:pt idx="11">
                  <c:v>1.6214</c:v>
                </c:pt>
                <c:pt idx="12">
                  <c:v>3.2783000000000002</c:v>
                </c:pt>
                <c:pt idx="13">
                  <c:v>4.5674999999999999</c:v>
                </c:pt>
                <c:pt idx="14">
                  <c:v>0.77470000000000006</c:v>
                </c:pt>
                <c:pt idx="15">
                  <c:v>4.2583000000000002</c:v>
                </c:pt>
                <c:pt idx="16">
                  <c:v>3.8816000000000002</c:v>
                </c:pt>
                <c:pt idx="17">
                  <c:v>1.5389999999999999</c:v>
                </c:pt>
                <c:pt idx="18">
                  <c:v>3.4849000000000001</c:v>
                </c:pt>
                <c:pt idx="19">
                  <c:v>2.5127999999999999</c:v>
                </c:pt>
                <c:pt idx="20">
                  <c:v>1.9401999999999999</c:v>
                </c:pt>
                <c:pt idx="21">
                  <c:v>3.1842999999999999</c:v>
                </c:pt>
                <c:pt idx="22">
                  <c:v>3.9653999999999998</c:v>
                </c:pt>
                <c:pt idx="23">
                  <c:v>0.77470000000000006</c:v>
                </c:pt>
                <c:pt idx="24">
                  <c:v>0.1133</c:v>
                </c:pt>
                <c:pt idx="25">
                  <c:v>2.4195000000000002</c:v>
                </c:pt>
                <c:pt idx="26">
                  <c:v>2.7917999999999998</c:v>
                </c:pt>
                <c:pt idx="27">
                  <c:v>3.8407</c:v>
                </c:pt>
                <c:pt idx="28">
                  <c:v>2.4891000000000001</c:v>
                </c:pt>
                <c:pt idx="29">
                  <c:v>1.0818000000000001</c:v>
                </c:pt>
                <c:pt idx="30">
                  <c:v>3.6720000000000002</c:v>
                </c:pt>
                <c:pt idx="31">
                  <c:v>3.8717999999999999</c:v>
                </c:pt>
                <c:pt idx="32">
                  <c:v>3.5322</c:v>
                </c:pt>
                <c:pt idx="33">
                  <c:v>3.8717999999999999</c:v>
                </c:pt>
                <c:pt idx="34">
                  <c:v>3.8717999999999999</c:v>
                </c:pt>
                <c:pt idx="35">
                  <c:v>3.9148000000000001</c:v>
                </c:pt>
                <c:pt idx="36">
                  <c:v>3.0383</c:v>
                </c:pt>
                <c:pt idx="37">
                  <c:v>3.8717999999999999</c:v>
                </c:pt>
                <c:pt idx="38">
                  <c:v>1.1536999999999999</c:v>
                </c:pt>
                <c:pt idx="39">
                  <c:v>3.2549999999999999</c:v>
                </c:pt>
                <c:pt idx="40">
                  <c:v>3.6095999999999999</c:v>
                </c:pt>
                <c:pt idx="41">
                  <c:v>3.3957999999999999</c:v>
                </c:pt>
                <c:pt idx="42">
                  <c:v>3.472</c:v>
                </c:pt>
                <c:pt idx="43">
                  <c:v>2.7336999999999998</c:v>
                </c:pt>
                <c:pt idx="44">
                  <c:v>7.6999999999999999E-2</c:v>
                </c:pt>
                <c:pt idx="45">
                  <c:v>3.8717999999999999</c:v>
                </c:pt>
                <c:pt idx="46">
                  <c:v>2.1656</c:v>
                </c:pt>
                <c:pt idx="47">
                  <c:v>2.1713</c:v>
                </c:pt>
                <c:pt idx="48">
                  <c:v>1.3270999999999999</c:v>
                </c:pt>
                <c:pt idx="49">
                  <c:v>2.9506999999999999</c:v>
                </c:pt>
                <c:pt idx="50">
                  <c:v>2.1894</c:v>
                </c:pt>
                <c:pt idx="51">
                  <c:v>2.7917999999999998</c:v>
                </c:pt>
                <c:pt idx="52">
                  <c:v>0.86709999999999998</c:v>
                </c:pt>
                <c:pt idx="53">
                  <c:v>4.5412999999999997</c:v>
                </c:pt>
                <c:pt idx="54">
                  <c:v>2.8477999999999999</c:v>
                </c:pt>
                <c:pt idx="55">
                  <c:v>1.5261</c:v>
                </c:pt>
                <c:pt idx="56">
                  <c:v>3.7364999999999999</c:v>
                </c:pt>
                <c:pt idx="57">
                  <c:v>3.1036999999999999</c:v>
                </c:pt>
                <c:pt idx="58">
                  <c:v>5.0490000000000004</c:v>
                </c:pt>
                <c:pt idx="59">
                  <c:v>3.1000999999999999</c:v>
                </c:pt>
                <c:pt idx="60">
                  <c:v>2.7427999999999999</c:v>
                </c:pt>
                <c:pt idx="61">
                  <c:v>2.629</c:v>
                </c:pt>
              </c:numCache>
            </c:numRef>
          </c:xVal>
          <c:yVal>
            <c:numRef>
              <c:f>Chart_Scatter!$G$3:$G$65</c:f>
              <c:numCache>
                <c:formatCode>#,##0.00</c:formatCode>
                <c:ptCount val="63"/>
                <c:pt idx="0">
                  <c:v>6.7752999999999997</c:v>
                </c:pt>
                <c:pt idx="1">
                  <c:v>6.0759999999999996</c:v>
                </c:pt>
                <c:pt idx="2">
                  <c:v>4.1260000000000003</c:v>
                </c:pt>
                <c:pt idx="3">
                  <c:v>6.5174000000000003</c:v>
                </c:pt>
                <c:pt idx="4">
                  <c:v>9.4842999999999993</c:v>
                </c:pt>
                <c:pt idx="5">
                  <c:v>6.7752999999999997</c:v>
                </c:pt>
                <c:pt idx="6">
                  <c:v>8.6005000000000003</c:v>
                </c:pt>
                <c:pt idx="7">
                  <c:v>6.7752999999999997</c:v>
                </c:pt>
                <c:pt idx="8">
                  <c:v>4.6318999999999999</c:v>
                </c:pt>
                <c:pt idx="9">
                  <c:v>9.4842999999999993</c:v>
                </c:pt>
                <c:pt idx="10">
                  <c:v>9.4842999999999993</c:v>
                </c:pt>
                <c:pt idx="11">
                  <c:v>5.6839000000000004</c:v>
                </c:pt>
                <c:pt idx="12">
                  <c:v>3.6385999999999998</c:v>
                </c:pt>
                <c:pt idx="13">
                  <c:v>8.0157000000000007</c:v>
                </c:pt>
                <c:pt idx="14">
                  <c:v>2.9369999999999998</c:v>
                </c:pt>
                <c:pt idx="15">
                  <c:v>3.9992999999999999</c:v>
                </c:pt>
                <c:pt idx="16">
                  <c:v>5.8503999999999996</c:v>
                </c:pt>
                <c:pt idx="17">
                  <c:v>9.4842999999999993</c:v>
                </c:pt>
                <c:pt idx="18">
                  <c:v>6.5052000000000003</c:v>
                </c:pt>
                <c:pt idx="19">
                  <c:v>9.4842999999999993</c:v>
                </c:pt>
                <c:pt idx="20">
                  <c:v>9.4842999999999993</c:v>
                </c:pt>
                <c:pt idx="21">
                  <c:v>1.2090000000000001</c:v>
                </c:pt>
                <c:pt idx="22">
                  <c:v>4.2263999999999999</c:v>
                </c:pt>
                <c:pt idx="23">
                  <c:v>6.9413999999999998</c:v>
                </c:pt>
                <c:pt idx="24">
                  <c:v>5.8235000000000001</c:v>
                </c:pt>
                <c:pt idx="25">
                  <c:v>6.4645999999999999</c:v>
                </c:pt>
                <c:pt idx="26">
                  <c:v>2.8472</c:v>
                </c:pt>
                <c:pt idx="27">
                  <c:v>2.0516000000000001</c:v>
                </c:pt>
                <c:pt idx="28">
                  <c:v>8.6005000000000003</c:v>
                </c:pt>
                <c:pt idx="29">
                  <c:v>6.5944000000000003</c:v>
                </c:pt>
                <c:pt idx="30">
                  <c:v>4.9813000000000001</c:v>
                </c:pt>
                <c:pt idx="31">
                  <c:v>6.7752999999999997</c:v>
                </c:pt>
                <c:pt idx="32">
                  <c:v>4.2478999999999996</c:v>
                </c:pt>
                <c:pt idx="33">
                  <c:v>6.7752999999999997</c:v>
                </c:pt>
                <c:pt idx="34">
                  <c:v>6.7752999999999997</c:v>
                </c:pt>
                <c:pt idx="35">
                  <c:v>3.9014000000000002</c:v>
                </c:pt>
                <c:pt idx="36">
                  <c:v>6.7752999999999997</c:v>
                </c:pt>
                <c:pt idx="37">
                  <c:v>6.7752999999999997</c:v>
                </c:pt>
                <c:pt idx="38">
                  <c:v>5.8718000000000004</c:v>
                </c:pt>
                <c:pt idx="39">
                  <c:v>3.9403999999999999</c:v>
                </c:pt>
                <c:pt idx="40">
                  <c:v>6.7752999999999997</c:v>
                </c:pt>
                <c:pt idx="41">
                  <c:v>6.7752999999999997</c:v>
                </c:pt>
                <c:pt idx="42">
                  <c:v>6.5944000000000003</c:v>
                </c:pt>
                <c:pt idx="43">
                  <c:v>8.6005000000000003</c:v>
                </c:pt>
                <c:pt idx="44">
                  <c:v>6.9413999999999998</c:v>
                </c:pt>
                <c:pt idx="45">
                  <c:v>6.7752999999999997</c:v>
                </c:pt>
                <c:pt idx="46">
                  <c:v>9.4842999999999993</c:v>
                </c:pt>
                <c:pt idx="47">
                  <c:v>9.4842999999999993</c:v>
                </c:pt>
                <c:pt idx="48">
                  <c:v>4.1597</c:v>
                </c:pt>
                <c:pt idx="49">
                  <c:v>2.7</c:v>
                </c:pt>
                <c:pt idx="50">
                  <c:v>5.9480000000000004</c:v>
                </c:pt>
                <c:pt idx="51">
                  <c:v>5.6044</c:v>
                </c:pt>
                <c:pt idx="52">
                  <c:v>6.5944000000000003</c:v>
                </c:pt>
                <c:pt idx="53">
                  <c:v>3.7646999999999999</c:v>
                </c:pt>
                <c:pt idx="54">
                  <c:v>6.5944000000000003</c:v>
                </c:pt>
                <c:pt idx="55">
                  <c:v>9.4842999999999993</c:v>
                </c:pt>
                <c:pt idx="56">
                  <c:v>6.9413999999999998</c:v>
                </c:pt>
                <c:pt idx="57">
                  <c:v>6.0110000000000001</c:v>
                </c:pt>
                <c:pt idx="58">
                  <c:v>3.5693000000000001</c:v>
                </c:pt>
                <c:pt idx="59">
                  <c:v>8.6005000000000003</c:v>
                </c:pt>
                <c:pt idx="60">
                  <c:v>6.5944000000000003</c:v>
                </c:pt>
                <c:pt idx="61">
                  <c:v>6.5944000000000003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4D4-432A-91F2-3024A05E3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100350"/>
        <c:axId val="3949989"/>
      </c:scatterChart>
      <c:valAx>
        <c:axId val="26100350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n-US" sz="1000" b="0" strike="noStrike" spc="-1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1000" b="0" strike="noStrike" spc="-1">
                    <a:solidFill>
                      <a:srgbClr val="595959"/>
                    </a:solidFill>
                    <a:latin typeface="Calibri"/>
                  </a:rPr>
                  <a:t>ln(Carbon Price)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3949989"/>
        <c:crosses val="autoZero"/>
        <c:crossBetween val="midCat"/>
      </c:valAx>
      <c:valAx>
        <c:axId val="394998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0" strike="noStrike" spc="-1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1000" b="0" strike="noStrike" spc="-1">
                    <a:solidFill>
                      <a:srgbClr val="595959"/>
                    </a:solidFill>
                    <a:latin typeface="Calibri"/>
                  </a:rPr>
                  <a:t>ln(Emissions MtCO2)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26100350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Average Carbon Price by Policy Type &amp; Region ($/tCO2)</a:t>
            </a:r>
          </a:p>
        </c:rich>
      </c:tx>
      <c:layout>
        <c:manualLayout>
          <c:xMode val="edge"/>
          <c:yMode val="edge"/>
          <c:x val="0.16232292045041799"/>
          <c:y val="1.5628522052746299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Chart_PriceTrends!$B$2</c:f>
              <c:strCache>
                <c:ptCount val="1"/>
                <c:pt idx="0">
                  <c:v>Overall Avg</c:v>
                </c:pt>
              </c:strCache>
            </c:strRef>
          </c:tx>
          <c:spPr>
            <a:ln w="28080">
              <a:solidFill>
                <a:srgbClr val="1565C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Chart_PriceTrends!$A$3:$A$11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Chart_PriceTrends!$B$3:$B$11</c:f>
              <c:numCache>
                <c:formatCode>#,##0.00</c:formatCode>
                <c:ptCount val="9"/>
                <c:pt idx="0">
                  <c:v>15.65</c:v>
                </c:pt>
                <c:pt idx="1">
                  <c:v>16.11</c:v>
                </c:pt>
                <c:pt idx="2">
                  <c:v>15.09</c:v>
                </c:pt>
                <c:pt idx="3">
                  <c:v>18</c:v>
                </c:pt>
                <c:pt idx="4">
                  <c:v>16.920000000000002</c:v>
                </c:pt>
                <c:pt idx="5">
                  <c:v>16.95</c:v>
                </c:pt>
                <c:pt idx="6">
                  <c:v>20.83</c:v>
                </c:pt>
                <c:pt idx="7">
                  <c:v>28.46</c:v>
                </c:pt>
                <c:pt idx="8">
                  <c:v>30.86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E5C-4F35-9D73-D3DBF7A4DD62}"/>
            </c:ext>
          </c:extLst>
        </c:ser>
        <c:ser>
          <c:idx val="1"/>
          <c:order val="1"/>
          <c:tx>
            <c:strRef>
              <c:f>Chart_PriceTrends!$C$2</c:f>
              <c:strCache>
                <c:ptCount val="1"/>
                <c:pt idx="0">
                  <c:v>Carbon Tax Avg</c:v>
                </c:pt>
              </c:strCache>
            </c:strRef>
          </c:tx>
          <c:spPr>
            <a:ln w="20160">
              <a:solidFill>
                <a:srgbClr val="F57F17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Chart_PriceTrends!$A$3:$A$11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Chart_PriceTrends!$C$3:$C$11</c:f>
              <c:numCache>
                <c:formatCode>#,##0.00</c:formatCode>
                <c:ptCount val="9"/>
                <c:pt idx="0">
                  <c:v>21.01</c:v>
                </c:pt>
                <c:pt idx="1">
                  <c:v>24.51</c:v>
                </c:pt>
                <c:pt idx="2">
                  <c:v>20.73</c:v>
                </c:pt>
                <c:pt idx="3">
                  <c:v>25.15</c:v>
                </c:pt>
                <c:pt idx="4">
                  <c:v>21.82</c:v>
                </c:pt>
                <c:pt idx="5">
                  <c:v>21.53</c:v>
                </c:pt>
                <c:pt idx="6">
                  <c:v>24.65</c:v>
                </c:pt>
                <c:pt idx="7">
                  <c:v>30.67</c:v>
                </c:pt>
                <c:pt idx="8">
                  <c:v>32.1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E5C-4F35-9D73-D3DBF7A4DD62}"/>
            </c:ext>
          </c:extLst>
        </c:ser>
        <c:ser>
          <c:idx val="2"/>
          <c:order val="2"/>
          <c:tx>
            <c:strRef>
              <c:f>Chart_PriceTrends!$D$2</c:f>
              <c:strCache>
                <c:ptCount val="1"/>
                <c:pt idx="0">
                  <c:v>ETS Avg</c:v>
                </c:pt>
              </c:strCache>
            </c:strRef>
          </c:tx>
          <c:spPr>
            <a:ln w="20160">
              <a:solidFill>
                <a:srgbClr val="2E7D3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Chart_PriceTrends!$A$3:$A$11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Chart_PriceTrends!$D$3:$D$11</c:f>
              <c:numCache>
                <c:formatCode>#,##0.00</c:formatCode>
                <c:ptCount val="9"/>
                <c:pt idx="0">
                  <c:v>10.59</c:v>
                </c:pt>
                <c:pt idx="1">
                  <c:v>8.2100000000000009</c:v>
                </c:pt>
                <c:pt idx="2">
                  <c:v>8.86</c:v>
                </c:pt>
                <c:pt idx="3">
                  <c:v>9.35</c:v>
                </c:pt>
                <c:pt idx="4">
                  <c:v>9.58</c:v>
                </c:pt>
                <c:pt idx="5">
                  <c:v>10.3</c:v>
                </c:pt>
                <c:pt idx="6">
                  <c:v>16.12</c:v>
                </c:pt>
                <c:pt idx="7">
                  <c:v>26.03</c:v>
                </c:pt>
                <c:pt idx="8">
                  <c:v>29.51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E5C-4F35-9D73-D3DBF7A4DD62}"/>
            </c:ext>
          </c:extLst>
        </c:ser>
        <c:ser>
          <c:idx val="3"/>
          <c:order val="3"/>
          <c:tx>
            <c:strRef>
              <c:f>Chart_PriceTrends!$E$2</c:f>
              <c:strCache>
                <c:ptCount val="1"/>
                <c:pt idx="0">
                  <c:v>Europe Avg</c:v>
                </c:pt>
              </c:strCache>
            </c:strRef>
          </c:tx>
          <c:spPr>
            <a:ln w="47520">
              <a:solidFill>
                <a:srgbClr val="6F568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Chart_PriceTrends!$A$3:$A$11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Chart_PriceTrends!$E$3:$E$11</c:f>
              <c:numCache>
                <c:formatCode>#,##0.00</c:formatCode>
                <c:ptCount val="9"/>
                <c:pt idx="0">
                  <c:v>20.7</c:v>
                </c:pt>
                <c:pt idx="1">
                  <c:v>25.22</c:v>
                </c:pt>
                <c:pt idx="2">
                  <c:v>23.93</c:v>
                </c:pt>
                <c:pt idx="3">
                  <c:v>30.33</c:v>
                </c:pt>
                <c:pt idx="4">
                  <c:v>28.7</c:v>
                </c:pt>
                <c:pt idx="5">
                  <c:v>29.55</c:v>
                </c:pt>
                <c:pt idx="6">
                  <c:v>34.67</c:v>
                </c:pt>
                <c:pt idx="7">
                  <c:v>42.01</c:v>
                </c:pt>
                <c:pt idx="8">
                  <c:v>43.93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DE5C-4F35-9D73-D3DBF7A4DD62}"/>
            </c:ext>
          </c:extLst>
        </c:ser>
        <c:ser>
          <c:idx val="4"/>
          <c:order val="4"/>
          <c:tx>
            <c:strRef>
              <c:f>Chart_PriceTrends!$F$2</c:f>
              <c:strCache>
                <c:ptCount val="1"/>
                <c:pt idx="0">
                  <c:v>N.America Avg</c:v>
                </c:pt>
              </c:strCache>
            </c:strRef>
          </c:tx>
          <c:spPr>
            <a:ln w="47520">
              <a:solidFill>
                <a:srgbClr val="3D97A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Chart_PriceTrends!$A$3:$A$11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Chart_PriceTrends!$F$3:$F$11</c:f>
              <c:numCache>
                <c:formatCode>#,##0.00</c:formatCode>
                <c:ptCount val="9"/>
                <c:pt idx="0">
                  <c:v>16.05</c:v>
                </c:pt>
                <c:pt idx="1">
                  <c:v>17.079999999999998</c:v>
                </c:pt>
                <c:pt idx="2">
                  <c:v>18.8</c:v>
                </c:pt>
                <c:pt idx="3">
                  <c:v>22.18</c:v>
                </c:pt>
                <c:pt idx="4">
                  <c:v>21.15</c:v>
                </c:pt>
                <c:pt idx="5">
                  <c:v>21.41</c:v>
                </c:pt>
                <c:pt idx="6">
                  <c:v>28.19</c:v>
                </c:pt>
                <c:pt idx="7">
                  <c:v>35.11</c:v>
                </c:pt>
                <c:pt idx="8">
                  <c:v>37.520000000000003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DE5C-4F35-9D73-D3DBF7A4DD62}"/>
            </c:ext>
          </c:extLst>
        </c:ser>
        <c:ser>
          <c:idx val="5"/>
          <c:order val="5"/>
          <c:tx>
            <c:strRef>
              <c:f>Chart_PriceTrends!$G$2</c:f>
              <c:strCache>
                <c:ptCount val="1"/>
                <c:pt idx="0">
                  <c:v>Asia-Pacific Avg</c:v>
                </c:pt>
              </c:strCache>
            </c:strRef>
          </c:tx>
          <c:spPr>
            <a:ln w="47520">
              <a:solidFill>
                <a:srgbClr val="DB823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Chart_PriceTrends!$A$3:$A$11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Chart_PriceTrends!$G$3:$G$11</c:f>
              <c:numCache>
                <c:formatCode>#,##0.00</c:formatCode>
                <c:ptCount val="9"/>
                <c:pt idx="0">
                  <c:v>4.5199999999999996</c:v>
                </c:pt>
                <c:pt idx="1">
                  <c:v>4.18</c:v>
                </c:pt>
                <c:pt idx="2">
                  <c:v>4.2699999999999996</c:v>
                </c:pt>
                <c:pt idx="3">
                  <c:v>5.33</c:v>
                </c:pt>
                <c:pt idx="4">
                  <c:v>4.7300000000000004</c:v>
                </c:pt>
                <c:pt idx="5">
                  <c:v>4.8600000000000003</c:v>
                </c:pt>
                <c:pt idx="6">
                  <c:v>5.33</c:v>
                </c:pt>
                <c:pt idx="7">
                  <c:v>9</c:v>
                </c:pt>
                <c:pt idx="8">
                  <c:v>8.6999999999999993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DE5C-4F35-9D73-D3DBF7A4DD62}"/>
            </c:ext>
          </c:extLst>
        </c:ser>
        <c:ser>
          <c:idx val="6"/>
          <c:order val="6"/>
          <c:tx>
            <c:strRef>
              <c:f>Chart_PriceTrends!$H$2</c:f>
              <c:strCache>
                <c:ptCount val="1"/>
                <c:pt idx="0">
                  <c:v>Latin America Avg</c:v>
                </c:pt>
              </c:strCache>
            </c:strRef>
          </c:tx>
          <c:spPr>
            <a:ln w="47520">
              <a:solidFill>
                <a:srgbClr val="8EA5CA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Chart_PriceTrends!$A$3:$A$11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Chart_PriceTrends!$H$3:$H$11</c:f>
              <c:numCache>
                <c:formatCode>#,##0.00</c:formatCode>
                <c:ptCount val="9"/>
                <c:pt idx="1">
                  <c:v>2.16</c:v>
                </c:pt>
                <c:pt idx="2">
                  <c:v>6.22</c:v>
                </c:pt>
                <c:pt idx="3">
                  <c:v>7.09</c:v>
                </c:pt>
                <c:pt idx="4">
                  <c:v>5.98</c:v>
                </c:pt>
                <c:pt idx="5">
                  <c:v>5.53</c:v>
                </c:pt>
                <c:pt idx="6">
                  <c:v>5.68</c:v>
                </c:pt>
                <c:pt idx="7">
                  <c:v>28</c:v>
                </c:pt>
                <c:pt idx="8">
                  <c:v>29.03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DE5C-4F35-9D73-D3DBF7A4D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2735073"/>
        <c:axId val="25446092"/>
      </c:lineChart>
      <c:catAx>
        <c:axId val="4273507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446092"/>
        <c:crosses val="autoZero"/>
        <c:auto val="1"/>
        <c:lblAlgn val="ctr"/>
        <c:lblOffset val="100"/>
        <c:noMultiLvlLbl val="0"/>
      </c:catAx>
      <c:valAx>
        <c:axId val="254460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Price ($/tCO2)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73507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1282680</xdr:colOff>
      <xdr:row>65</xdr:row>
      <xdr:rowOff>69840</xdr:rowOff>
    </xdr:from>
    <xdr:to>
      <xdr:col>6</xdr:col>
      <xdr:colOff>35280</xdr:colOff>
      <xdr:row>91</xdr:row>
      <xdr:rowOff>155160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1104840</xdr:colOff>
      <xdr:row>12</xdr:row>
      <xdr:rowOff>76320</xdr:rowOff>
    </xdr:from>
    <xdr:to>
      <xdr:col>8</xdr:col>
      <xdr:colOff>11160</xdr:colOff>
      <xdr:row>38</xdr:row>
      <xdr:rowOff>161640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zoomScale="80" zoomScaleNormal="80" workbookViewId="0">
      <selection activeCell="M1" sqref="M1:M1048576"/>
    </sheetView>
  </sheetViews>
  <sheetFormatPr defaultColWidth="8.6328125" defaultRowHeight="14.5" x14ac:dyDescent="0.35"/>
  <cols>
    <col min="1" max="1" width="1.54296875" style="13" customWidth="1"/>
    <col min="2" max="2" width="15.08984375" style="13" bestFit="1" customWidth="1"/>
    <col min="3" max="3" width="11" style="13" bestFit="1" customWidth="1"/>
    <col min="4" max="4" width="15.453125" style="13" bestFit="1" customWidth="1"/>
    <col min="5" max="5" width="19.7265625" style="13" bestFit="1" customWidth="1"/>
    <col min="6" max="6" width="11.6328125" style="13" bestFit="1" customWidth="1"/>
    <col min="7" max="7" width="22" style="13" customWidth="1"/>
    <col min="8" max="8" width="15" style="13" bestFit="1" customWidth="1"/>
    <col min="9" max="9" width="1.54296875" style="13" customWidth="1"/>
  </cols>
  <sheetData>
    <row r="1" spans="2:8" ht="6" customHeight="1" x14ac:dyDescent="0.35"/>
    <row r="2" spans="2:8" ht="39.75" customHeight="1" x14ac:dyDescent="0.35">
      <c r="B2" s="122" t="s">
        <v>0</v>
      </c>
      <c r="C2" s="122"/>
      <c r="D2" s="122"/>
      <c r="E2" s="122"/>
      <c r="F2" s="122"/>
      <c r="G2" s="122"/>
      <c r="H2" s="122"/>
    </row>
    <row r="3" spans="2:8" ht="21.75" customHeight="1" x14ac:dyDescent="0.35">
      <c r="B3" s="12" t="s">
        <v>252</v>
      </c>
      <c r="C3" s="12"/>
      <c r="D3" s="12"/>
      <c r="E3" s="12"/>
      <c r="F3" s="12"/>
      <c r="G3" s="12"/>
      <c r="H3" s="12"/>
    </row>
    <row r="4" spans="2:8" ht="15.75" customHeight="1" x14ac:dyDescent="0.35">
      <c r="B4" s="14" t="s">
        <v>1</v>
      </c>
      <c r="C4" s="14" t="s">
        <v>2</v>
      </c>
      <c r="D4" s="14" t="s">
        <v>3</v>
      </c>
      <c r="E4" s="14" t="s">
        <v>4</v>
      </c>
      <c r="F4" s="14"/>
      <c r="G4" s="14"/>
      <c r="H4" s="14"/>
    </row>
    <row r="5" spans="2:8" ht="31.5" customHeight="1" x14ac:dyDescent="0.35">
      <c r="B5" s="15" t="s">
        <v>5</v>
      </c>
      <c r="C5" s="15" t="s">
        <v>5</v>
      </c>
      <c r="D5" s="15">
        <v>2019</v>
      </c>
      <c r="E5" s="15">
        <v>2023</v>
      </c>
      <c r="F5" s="16"/>
      <c r="G5" s="16"/>
      <c r="H5" s="16"/>
    </row>
    <row r="6" spans="2:8" ht="13.5" customHeight="1" x14ac:dyDescent="0.35"/>
    <row r="7" spans="2:8" ht="15.75" customHeight="1" x14ac:dyDescent="0.35">
      <c r="B7" s="11" t="s">
        <v>6</v>
      </c>
      <c r="C7" s="11"/>
      <c r="D7" s="11" t="s">
        <v>7</v>
      </c>
      <c r="E7" s="11"/>
      <c r="F7" s="11" t="s">
        <v>8</v>
      </c>
      <c r="G7" s="11"/>
      <c r="H7" s="17" t="s">
        <v>9</v>
      </c>
    </row>
    <row r="8" spans="2:8" ht="43.5" customHeight="1" x14ac:dyDescent="0.35">
      <c r="B8" s="10">
        <f>IFERROR(SUMPRODUCT((($B$5="All")*(Analysis!$K$3:$K$500+Analysis!$L$3:$L$500+Analysis!$M$3:$M$500+Analysis!$N$3:$N$500+Analysis!$O$3:$O$500+Analysis!$P$3:$P$500)+(($B$5="Africa")*Analysis!$K$3:$K$500)+(($B$5="Asia-Pacific")*Analysis!$L$3:$L$500)+(($B$5="Europe")*Analysis!$M$3:$M$500)+(($B$5="Latin America")*Analysis!$N$3:$N$500)+(($B$5="North America")*Analysis!$O$3:$O$500)+(($B$5="Other")*Analysis!$P$3:$P$500))*(Analysis!$S$3:$S$500)),0)</f>
        <v>63</v>
      </c>
      <c r="C8" s="10"/>
      <c r="D8" s="9">
        <f>IFERROR(ROUND(SUMPRODUCT((($B$5="All")*(Analysis!$K$3:$K$500+Analysis!$L$3:$L$500+Analysis!$M$3:$M$500+Analysis!$N$3:$N$500+Analysis!$O$3:$O$500+Analysis!$P$3:$P$500)+(($B$5="Africa")*Analysis!$K$3:$K$500)+(($B$5="Asia-Pacific")*Analysis!$L$3:$L$500)+(($B$5="Europe")*Analysis!$M$3:$M$500)+(($B$5="Latin America")*Analysis!$N$3:$N$500)+(($B$5="North America")*Analysis!$O$3:$O$500)+(($B$5="Other")*Analysis!$P$3:$P$500))*(($C$5="All")*(Analysis!$Q$3:$Q$500+Analysis!$R$3:$R$500)+(($C$5="Carbon tax")*Analysis!$Q$3:$Q$500)+(($C$5="ETS")*Analysis!$R$3:$R$500))*(Analysis!$B$3:$B$500&gt;=$D$5)*(Analysis!$B$3:$B$500&lt;=$E$5)*Analysis!$C$3:$C$500)/SUMPRODUCT((($B$5="All")*(Analysis!$K$3:$K$500+Analysis!$L$3:$L$500+Analysis!$M$3:$M$500+Analysis!$N$3:$N$500+Analysis!$O$3:$O$500+Analysis!$P$3:$P$500)+(($B$5="Africa")*Analysis!$K$3:$K$500)+(($B$5="Asia-Pacific")*Analysis!$L$3:$L$500)+(($B$5="Europe")*Analysis!$M$3:$M$500)+(($B$5="Latin America")*Analysis!$N$3:$N$500)+(($B$5="North America")*Analysis!$O$3:$O$500)+(($B$5="Other")*Analysis!$P$3:$P$500))*(($C$5="All")*(Analysis!$Q$3:$Q$500+Analysis!$R$3:$R$500)+(($C$5="Carbon tax")*Analysis!$Q$3:$Q$500)+(($C$5="ETS")*Analysis!$R$3:$R$500))*(Analysis!$B$3:$B$500&gt;=$D$5)*(Analysis!$B$3:$B$500&lt;=$E$5)),1),"-")</f>
        <v>23.6</v>
      </c>
      <c r="E8" s="9"/>
      <c r="F8" s="8">
        <f>IFERROR(ROUND(SUMPRODUCT((($B$5="All")*(Analysis!$K$3:$K$500+Analysis!$L$3:$L$500+Analysis!$M$3:$M$500+Analysis!$N$3:$N$500+Analysis!$O$3:$O$500+Analysis!$P$3:$P$500)+(($B$5="Africa")*Analysis!$K$3:$K$500)+(($B$5="Asia-Pacific")*Analysis!$L$3:$L$500)+(($B$5="Europe")*Analysis!$M$3:$M$500)+(($B$5="Latin America")*Analysis!$N$3:$N$500)+(($B$5="North America")*Analysis!$O$3:$O$500)+(($B$5="Other")*Analysis!$P$3:$P$500))*(($C$5="All")*(Analysis!$Q$3:$Q$500+Analysis!$R$3:$R$500)+(($C$5="Carbon tax")*Analysis!$Q$3:$Q$500)+(($C$5="ETS")*Analysis!$R$3:$R$500))*(Analysis!$B$3:$B$500&gt;=$D$5)*(Analysis!$B$3:$B$500&lt;=$E$5)*Analysis!$E$3:$E$500)/SUMPRODUCT((($B$5="All")*(Analysis!$K$3:$K$500+Analysis!$L$3:$L$500+Analysis!$M$3:$M$500+Analysis!$N$3:$N$500+Analysis!$O$3:$O$500+Analysis!$P$3:$P$500)+(($B$5="Africa")*Analysis!$K$3:$K$500)+(($B$5="Asia-Pacific")*Analysis!$L$3:$L$500)+(($B$5="Europe")*Analysis!$M$3:$M$500)+(($B$5="Latin America")*Analysis!$N$3:$N$500)+(($B$5="North America")*Analysis!$O$3:$O$500)+(($B$5="Other")*Analysis!$P$3:$P$500))*(($C$5="All")*(Analysis!$Q$3:$Q$500+Analysis!$R$3:$R$500)+(($C$5="Carbon tax")*Analysis!$Q$3:$Q$500)+(($C$5="ETS")*Analysis!$R$3:$R$500))*(Analysis!$B$3:$B$500&gt;=$D$5)*(Analysis!$B$3:$B$500&lt;=$E$5)),0),"-")</f>
        <v>2574</v>
      </c>
      <c r="G8" s="8"/>
      <c r="H8" s="18">
        <f>IFERROR(ROUND(SUMPRODUCT((($B$5="All")*(Analysis!$K$3:$K$500+Analysis!$L$3:$L$500+Analysis!$M$3:$M$500+Analysis!$N$3:$N$500+Analysis!$O$3:$O$500+Analysis!$P$3:$P$500)+(($B$5="Africa")*Analysis!$K$3:$K$500)+(($B$5="Asia-Pacific")*Analysis!$L$3:$L$500)+(($B$5="Europe")*Analysis!$M$3:$M$500)+(($B$5="Latin America")*Analysis!$N$3:$N$500)+(($B$5="North America")*Analysis!$O$3:$O$500)+(($B$5="Other")*Analysis!$P$3:$P$500))*(($C$5="All")*(Analysis!$Q$3:$Q$500+Analysis!$R$3:$R$500)+(($C$5="Carbon tax")*Analysis!$Q$3:$Q$500)+(($C$5="ETS")*Analysis!$R$3:$R$500))*(Analysis!$B$3:$B$500&gt;=$D$5)*(Analysis!$B$3:$B$500&lt;=$E$5)*Analysis!$G$3:$G$500)/1000,0),"-")</f>
        <v>2157</v>
      </c>
    </row>
    <row r="9" spans="2:8" ht="13.5" customHeight="1" x14ac:dyDescent="0.35"/>
    <row r="10" spans="2:8" ht="25.5" customHeight="1" x14ac:dyDescent="0.35">
      <c r="B10" s="7" t="s">
        <v>10</v>
      </c>
      <c r="C10" s="7"/>
      <c r="D10" s="7"/>
      <c r="E10" s="7"/>
      <c r="F10" s="7"/>
      <c r="G10" s="7"/>
      <c r="H10" s="7"/>
    </row>
    <row r="11" spans="2:8" ht="21.75" customHeight="1" x14ac:dyDescent="0.35">
      <c r="B11" s="19" t="s">
        <v>1</v>
      </c>
      <c r="C11" s="19" t="s">
        <v>11</v>
      </c>
      <c r="D11" s="19" t="s">
        <v>12</v>
      </c>
      <c r="E11" s="19" t="s">
        <v>13</v>
      </c>
      <c r="F11" s="19" t="s">
        <v>14</v>
      </c>
      <c r="G11" s="19" t="s">
        <v>15</v>
      </c>
      <c r="H11" s="19" t="s">
        <v>16</v>
      </c>
    </row>
    <row r="12" spans="2:8" ht="21.75" customHeight="1" x14ac:dyDescent="0.35">
      <c r="B12" s="20" t="s">
        <v>17</v>
      </c>
      <c r="C12" s="21">
        <v>1</v>
      </c>
      <c r="D12" s="22">
        <v>8.6999999999999993</v>
      </c>
      <c r="E12" s="21">
        <v>439</v>
      </c>
      <c r="F12" s="21">
        <v>5</v>
      </c>
      <c r="G12" s="23" t="s">
        <v>18</v>
      </c>
      <c r="H12" s="23" t="s">
        <v>19</v>
      </c>
    </row>
    <row r="13" spans="2:8" ht="21.75" customHeight="1" x14ac:dyDescent="0.35">
      <c r="B13" s="24" t="s">
        <v>20</v>
      </c>
      <c r="C13" s="25">
        <v>13</v>
      </c>
      <c r="D13" s="26">
        <v>5.8</v>
      </c>
      <c r="E13" s="25">
        <v>8753</v>
      </c>
      <c r="F13" s="25">
        <v>1274</v>
      </c>
      <c r="G13" s="27" t="s">
        <v>21</v>
      </c>
      <c r="H13" s="27" t="s">
        <v>19</v>
      </c>
    </row>
    <row r="14" spans="2:8" ht="21.75" customHeight="1" x14ac:dyDescent="0.35">
      <c r="B14" s="20" t="s">
        <v>22</v>
      </c>
      <c r="C14" s="21">
        <v>20</v>
      </c>
      <c r="D14" s="22">
        <v>31.8</v>
      </c>
      <c r="E14" s="21">
        <v>320</v>
      </c>
      <c r="F14" s="21">
        <v>481</v>
      </c>
      <c r="G14" s="23" t="s">
        <v>23</v>
      </c>
      <c r="H14" s="23" t="s">
        <v>19</v>
      </c>
    </row>
    <row r="15" spans="2:8" ht="21.75" customHeight="1" x14ac:dyDescent="0.35">
      <c r="B15" s="24" t="s">
        <v>24</v>
      </c>
      <c r="C15" s="25">
        <v>8</v>
      </c>
      <c r="D15" s="26">
        <v>13.5</v>
      </c>
      <c r="E15" s="25">
        <v>448</v>
      </c>
      <c r="F15" s="25">
        <v>40</v>
      </c>
      <c r="G15" s="27" t="s">
        <v>25</v>
      </c>
      <c r="H15" s="27" t="s">
        <v>19</v>
      </c>
    </row>
    <row r="16" spans="2:8" ht="21.75" customHeight="1" x14ac:dyDescent="0.35">
      <c r="B16" s="20" t="s">
        <v>26</v>
      </c>
      <c r="C16" s="21">
        <v>5</v>
      </c>
      <c r="D16" s="22">
        <v>26.1</v>
      </c>
      <c r="E16" s="21">
        <v>1970</v>
      </c>
      <c r="F16" s="21">
        <v>546</v>
      </c>
      <c r="G16" s="23" t="s">
        <v>27</v>
      </c>
      <c r="H16" s="23" t="s">
        <v>19</v>
      </c>
    </row>
    <row r="17" spans="2:8" ht="21.75" customHeight="1" x14ac:dyDescent="0.35">
      <c r="B17" s="24" t="s">
        <v>28</v>
      </c>
      <c r="C17" s="25">
        <v>16</v>
      </c>
      <c r="D17" s="26">
        <v>20.3</v>
      </c>
      <c r="E17" s="25">
        <v>1588</v>
      </c>
      <c r="F17" s="25">
        <v>589</v>
      </c>
      <c r="G17" s="27" t="s">
        <v>29</v>
      </c>
      <c r="H17" s="27" t="s">
        <v>19</v>
      </c>
    </row>
    <row r="18" spans="2:8" ht="21.75" customHeight="1" x14ac:dyDescent="0.35">
      <c r="B18" s="28" t="s">
        <v>30</v>
      </c>
      <c r="C18" s="29">
        <v>63</v>
      </c>
      <c r="D18" s="30">
        <v>21.1</v>
      </c>
      <c r="E18" s="29">
        <v>2698</v>
      </c>
      <c r="F18" s="29">
        <v>2934</v>
      </c>
      <c r="G18" s="31" t="s">
        <v>31</v>
      </c>
      <c r="H18" s="31" t="s">
        <v>19</v>
      </c>
    </row>
    <row r="19" spans="2:8" ht="7.5" customHeight="1" x14ac:dyDescent="0.35"/>
    <row r="20" spans="2:8" ht="13.5" customHeight="1" x14ac:dyDescent="0.35">
      <c r="B20" s="6" t="s">
        <v>32</v>
      </c>
      <c r="C20" s="6"/>
      <c r="D20" s="6"/>
      <c r="E20" s="6"/>
      <c r="F20" s="6"/>
      <c r="G20" s="6"/>
      <c r="H20" s="6"/>
    </row>
  </sheetData>
  <mergeCells count="10">
    <mergeCell ref="B8:C8"/>
    <mergeCell ref="D8:E8"/>
    <mergeCell ref="F8:G8"/>
    <mergeCell ref="B10:H10"/>
    <mergeCell ref="B20:H20"/>
    <mergeCell ref="B2:H2"/>
    <mergeCell ref="B3:H3"/>
    <mergeCell ref="B7:C7"/>
    <mergeCell ref="D7:E7"/>
    <mergeCell ref="F7:G7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000-000000000000}">
          <x14:formula1>
            <xm:f>DB_Helper!$A$2:$A$9</xm:f>
          </x14:formula1>
          <x14:formula2>
            <xm:f>0</xm:f>
          </x14:formula2>
          <xm:sqref>B5</xm:sqref>
        </x14:dataValidation>
        <x14:dataValidation type="list" xr:uid="{00000000-0002-0000-0000-000001000000}">
          <x14:formula1>
            <xm:f>DB_Helper!$B$2:$B$4</xm:f>
          </x14:formula1>
          <x14:formula2>
            <xm:f>0</xm:f>
          </x14:formula2>
          <xm:sqref>C5</xm:sqref>
        </x14:dataValidation>
        <x14:dataValidation type="list" xr:uid="{00000000-0002-0000-0000-000002000000}">
          <x14:formula1>
            <xm:f>DB_Helper!$C$2:$C$10</xm:f>
          </x14:formula1>
          <x14:formula2>
            <xm:f>0</xm:f>
          </x14:formula2>
          <xm:sqref>D5</xm:sqref>
        </x14:dataValidation>
        <x14:dataValidation type="list" xr:uid="{00000000-0002-0000-0000-000003000000}">
          <x14:formula1>
            <xm:f>DB_Helper!$D$2:$D$10</xm:f>
          </x14:formula1>
          <x14:formula2>
            <xm:f>0</xm:f>
          </x14:formula2>
          <xm:sqref>E5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527A0"/>
  </sheetPr>
  <dimension ref="A1:S434"/>
  <sheetViews>
    <sheetView showGridLines="0" zoomScaleNormal="100" workbookViewId="0">
      <pane ySplit="2" topLeftCell="A3" activePane="bottomLeft" state="frozen"/>
      <selection pane="bottomLeft"/>
    </sheetView>
  </sheetViews>
  <sheetFormatPr defaultColWidth="8.6328125" defaultRowHeight="14.5" x14ac:dyDescent="0.35"/>
  <cols>
    <col min="1" max="10" width="20" style="13" customWidth="1"/>
  </cols>
  <sheetData>
    <row r="1" spans="1:19" ht="23.25" customHeight="1" x14ac:dyDescent="0.35">
      <c r="A1" s="32" t="s">
        <v>33</v>
      </c>
      <c r="B1" s="32" t="s">
        <v>34</v>
      </c>
      <c r="C1" s="32" t="s">
        <v>35</v>
      </c>
      <c r="D1" s="32" t="s">
        <v>36</v>
      </c>
      <c r="E1" s="32" t="s">
        <v>37</v>
      </c>
      <c r="F1" s="32" t="s">
        <v>1</v>
      </c>
      <c r="G1" s="32" t="s">
        <v>38</v>
      </c>
      <c r="H1" s="32" t="s">
        <v>39</v>
      </c>
      <c r="I1" s="32" t="s">
        <v>40</v>
      </c>
      <c r="J1" s="32" t="s">
        <v>41</v>
      </c>
      <c r="K1" s="13" t="s">
        <v>42</v>
      </c>
      <c r="L1" s="13" t="s">
        <v>43</v>
      </c>
      <c r="M1" s="13" t="s">
        <v>44</v>
      </c>
      <c r="N1" s="13" t="s">
        <v>45</v>
      </c>
      <c r="O1" s="13" t="s">
        <v>46</v>
      </c>
      <c r="P1" s="13" t="s">
        <v>47</v>
      </c>
      <c r="Q1" s="13" t="s">
        <v>48</v>
      </c>
      <c r="R1" s="13" t="s">
        <v>49</v>
      </c>
      <c r="S1" s="13" t="s">
        <v>50</v>
      </c>
    </row>
    <row r="2" spans="1:19" ht="18.75" customHeight="1" x14ac:dyDescent="0.35">
      <c r="A2" s="33" t="s">
        <v>51</v>
      </c>
      <c r="B2" s="33" t="s">
        <v>52</v>
      </c>
      <c r="C2" s="33" t="s">
        <v>53</v>
      </c>
      <c r="D2" s="33" t="s">
        <v>54</v>
      </c>
      <c r="E2" s="33" t="s">
        <v>55</v>
      </c>
      <c r="F2" s="33" t="s">
        <v>56</v>
      </c>
      <c r="G2" s="33" t="s">
        <v>57</v>
      </c>
      <c r="H2" s="33" t="s">
        <v>58</v>
      </c>
      <c r="I2" s="33" t="s">
        <v>59</v>
      </c>
      <c r="J2" s="33" t="s">
        <v>60</v>
      </c>
      <c r="K2" s="13" t="s">
        <v>61</v>
      </c>
      <c r="L2" s="13" t="s">
        <v>62</v>
      </c>
      <c r="M2" s="13" t="s">
        <v>63</v>
      </c>
      <c r="N2" s="13" t="s">
        <v>64</v>
      </c>
      <c r="O2" s="13" t="s">
        <v>65</v>
      </c>
      <c r="P2" s="13" t="s">
        <v>66</v>
      </c>
      <c r="Q2" s="13" t="s">
        <v>67</v>
      </c>
      <c r="R2" s="13" t="s">
        <v>68</v>
      </c>
      <c r="S2" s="13" t="s">
        <v>69</v>
      </c>
    </row>
    <row r="3" spans="1:19" ht="15" customHeight="1" x14ac:dyDescent="0.35">
      <c r="A3" s="34" t="s">
        <v>70</v>
      </c>
      <c r="B3" s="35">
        <v>2015</v>
      </c>
      <c r="C3" s="36">
        <v>11.89</v>
      </c>
      <c r="D3" s="35" t="s">
        <v>71</v>
      </c>
      <c r="E3" s="37">
        <v>789.07</v>
      </c>
      <c r="F3" s="35" t="s">
        <v>26</v>
      </c>
      <c r="G3" s="37">
        <v>2814.6126899999999</v>
      </c>
      <c r="H3" s="38">
        <v>1.5049299429164499E-2</v>
      </c>
      <c r="I3" s="39">
        <v>2.4756999999999998</v>
      </c>
      <c r="J3" s="39">
        <v>6.6708999999999996</v>
      </c>
      <c r="K3" s="13">
        <v>0</v>
      </c>
      <c r="L3" s="13">
        <v>0</v>
      </c>
      <c r="M3" s="13">
        <v>0</v>
      </c>
      <c r="N3" s="13">
        <v>0</v>
      </c>
      <c r="O3" s="13">
        <v>1</v>
      </c>
      <c r="P3" s="13">
        <v>0</v>
      </c>
      <c r="Q3" s="13">
        <v>0</v>
      </c>
      <c r="R3" s="13">
        <v>1</v>
      </c>
      <c r="S3" s="13">
        <v>1</v>
      </c>
    </row>
    <row r="4" spans="1:19" ht="15" customHeight="1" x14ac:dyDescent="0.35">
      <c r="A4" s="40" t="s">
        <v>70</v>
      </c>
      <c r="B4" s="41">
        <v>2016</v>
      </c>
      <c r="C4" s="42">
        <v>15.37</v>
      </c>
      <c r="D4" s="41" t="s">
        <v>71</v>
      </c>
      <c r="E4" s="43">
        <v>886.24</v>
      </c>
      <c r="F4" s="41" t="s">
        <v>26</v>
      </c>
      <c r="G4" s="43">
        <v>4086.45264</v>
      </c>
      <c r="H4" s="44">
        <v>1.73233848789505E-2</v>
      </c>
      <c r="I4" s="45">
        <v>2.7324000000000002</v>
      </c>
      <c r="J4" s="45">
        <v>6.7869999999999999</v>
      </c>
      <c r="K4" s="13">
        <v>0</v>
      </c>
      <c r="L4" s="13">
        <v>0</v>
      </c>
      <c r="M4" s="13">
        <v>0</v>
      </c>
      <c r="N4" s="13">
        <v>0</v>
      </c>
      <c r="O4" s="13">
        <v>1</v>
      </c>
      <c r="P4" s="13">
        <v>0</v>
      </c>
      <c r="Q4" s="13">
        <v>0</v>
      </c>
      <c r="R4" s="13">
        <v>1</v>
      </c>
      <c r="S4" s="13">
        <v>0</v>
      </c>
    </row>
    <row r="5" spans="1:19" ht="15" customHeight="1" x14ac:dyDescent="0.35">
      <c r="A5" s="34" t="s">
        <v>70</v>
      </c>
      <c r="B5" s="35">
        <v>2017</v>
      </c>
      <c r="C5" s="36">
        <v>15.03</v>
      </c>
      <c r="D5" s="35" t="s">
        <v>72</v>
      </c>
      <c r="E5" s="37">
        <v>905.03</v>
      </c>
      <c r="F5" s="35" t="s">
        <v>26</v>
      </c>
      <c r="G5" s="37">
        <v>4080.7802700000002</v>
      </c>
      <c r="H5" s="38">
        <v>1.6588854673686301E-2</v>
      </c>
      <c r="I5" s="39">
        <v>2.71</v>
      </c>
      <c r="J5" s="39">
        <v>6.8079999999999998</v>
      </c>
      <c r="K5" s="13">
        <v>0</v>
      </c>
      <c r="L5" s="13">
        <v>0</v>
      </c>
      <c r="M5" s="13">
        <v>0</v>
      </c>
      <c r="N5" s="13">
        <v>0</v>
      </c>
      <c r="O5" s="13">
        <v>1</v>
      </c>
      <c r="P5" s="13">
        <v>0</v>
      </c>
      <c r="Q5" s="13">
        <v>1</v>
      </c>
      <c r="R5" s="13">
        <v>0</v>
      </c>
      <c r="S5" s="13">
        <v>0</v>
      </c>
    </row>
    <row r="6" spans="1:19" ht="15" customHeight="1" x14ac:dyDescent="0.35">
      <c r="A6" s="40" t="s">
        <v>70</v>
      </c>
      <c r="B6" s="41">
        <v>2017</v>
      </c>
      <c r="C6" s="42">
        <v>22.54</v>
      </c>
      <c r="D6" s="41" t="s">
        <v>71</v>
      </c>
      <c r="E6" s="43">
        <v>905.03</v>
      </c>
      <c r="F6" s="41" t="s">
        <v>26</v>
      </c>
      <c r="G6" s="43">
        <v>6119.81286</v>
      </c>
      <c r="H6" s="44">
        <v>2.4877763429467001E-2</v>
      </c>
      <c r="I6" s="45">
        <v>3.1153</v>
      </c>
      <c r="J6" s="45">
        <v>6.8079999999999998</v>
      </c>
      <c r="K6" s="13">
        <v>0</v>
      </c>
      <c r="L6" s="13">
        <v>0</v>
      </c>
      <c r="M6" s="13">
        <v>0</v>
      </c>
      <c r="N6" s="13">
        <v>0</v>
      </c>
      <c r="O6" s="13">
        <v>1</v>
      </c>
      <c r="P6" s="13">
        <v>0</v>
      </c>
      <c r="Q6" s="13">
        <v>0</v>
      </c>
      <c r="R6" s="13">
        <v>1</v>
      </c>
      <c r="S6" s="13">
        <v>0</v>
      </c>
    </row>
    <row r="7" spans="1:19" ht="15" customHeight="1" x14ac:dyDescent="0.35">
      <c r="A7" s="34" t="s">
        <v>70</v>
      </c>
      <c r="B7" s="35">
        <v>2018</v>
      </c>
      <c r="C7" s="36">
        <v>23.25</v>
      </c>
      <c r="D7" s="35" t="s">
        <v>72</v>
      </c>
      <c r="E7" s="37">
        <v>923.96</v>
      </c>
      <c r="F7" s="35" t="s">
        <v>26</v>
      </c>
      <c r="G7" s="37">
        <v>6444.6210000000001</v>
      </c>
      <c r="H7" s="38">
        <v>2.51362221069019E-2</v>
      </c>
      <c r="I7" s="39">
        <v>3.1463000000000001</v>
      </c>
      <c r="J7" s="39">
        <v>6.8287000000000004</v>
      </c>
      <c r="K7" s="13">
        <v>0</v>
      </c>
      <c r="L7" s="13">
        <v>0</v>
      </c>
      <c r="M7" s="13">
        <v>0</v>
      </c>
      <c r="N7" s="13">
        <v>0</v>
      </c>
      <c r="O7" s="13">
        <v>1</v>
      </c>
      <c r="P7" s="13">
        <v>0</v>
      </c>
      <c r="Q7" s="13">
        <v>1</v>
      </c>
      <c r="R7" s="13">
        <v>0</v>
      </c>
      <c r="S7" s="13">
        <v>0</v>
      </c>
    </row>
    <row r="8" spans="1:19" ht="15" customHeight="1" x14ac:dyDescent="0.35">
      <c r="A8" s="40" t="s">
        <v>70</v>
      </c>
      <c r="B8" s="41">
        <v>2018</v>
      </c>
      <c r="C8" s="42">
        <v>23.25</v>
      </c>
      <c r="D8" s="41" t="s">
        <v>71</v>
      </c>
      <c r="E8" s="43">
        <v>923.96</v>
      </c>
      <c r="F8" s="41" t="s">
        <v>26</v>
      </c>
      <c r="G8" s="43">
        <v>6444.6210000000001</v>
      </c>
      <c r="H8" s="44">
        <v>2.51362221069019E-2</v>
      </c>
      <c r="I8" s="45">
        <v>3.1463000000000001</v>
      </c>
      <c r="J8" s="45">
        <v>6.8287000000000004</v>
      </c>
      <c r="K8" s="13">
        <v>0</v>
      </c>
      <c r="L8" s="13">
        <v>0</v>
      </c>
      <c r="M8" s="13">
        <v>0</v>
      </c>
      <c r="N8" s="13">
        <v>0</v>
      </c>
      <c r="O8" s="13">
        <v>1</v>
      </c>
      <c r="P8" s="13">
        <v>0</v>
      </c>
      <c r="Q8" s="13">
        <v>0</v>
      </c>
      <c r="R8" s="13">
        <v>1</v>
      </c>
      <c r="S8" s="13">
        <v>0</v>
      </c>
    </row>
    <row r="9" spans="1:19" ht="15" customHeight="1" x14ac:dyDescent="0.35">
      <c r="A9" s="34" t="s">
        <v>70</v>
      </c>
      <c r="B9" s="35">
        <v>2019</v>
      </c>
      <c r="C9" s="36">
        <v>22.49</v>
      </c>
      <c r="D9" s="35" t="s">
        <v>72</v>
      </c>
      <c r="E9" s="37">
        <v>915.12</v>
      </c>
      <c r="F9" s="35" t="s">
        <v>26</v>
      </c>
      <c r="G9" s="37">
        <v>6174.3146399999996</v>
      </c>
      <c r="H9" s="38">
        <v>2.4549185696197001E-2</v>
      </c>
      <c r="I9" s="39">
        <v>3.1131000000000002</v>
      </c>
      <c r="J9" s="39">
        <v>6.8190999999999997</v>
      </c>
      <c r="K9" s="13">
        <v>0</v>
      </c>
      <c r="L9" s="13">
        <v>0</v>
      </c>
      <c r="M9" s="13">
        <v>0</v>
      </c>
      <c r="N9" s="13">
        <v>0</v>
      </c>
      <c r="O9" s="13">
        <v>1</v>
      </c>
      <c r="P9" s="13">
        <v>0</v>
      </c>
      <c r="Q9" s="13">
        <v>1</v>
      </c>
      <c r="R9" s="13">
        <v>0</v>
      </c>
      <c r="S9" s="13">
        <v>0</v>
      </c>
    </row>
    <row r="10" spans="1:19" ht="15" customHeight="1" x14ac:dyDescent="0.35">
      <c r="A10" s="40" t="s">
        <v>70</v>
      </c>
      <c r="B10" s="41">
        <v>2019</v>
      </c>
      <c r="C10" s="42">
        <v>22.49</v>
      </c>
      <c r="D10" s="41" t="s">
        <v>71</v>
      </c>
      <c r="E10" s="43">
        <v>915.12</v>
      </c>
      <c r="F10" s="41" t="s">
        <v>26</v>
      </c>
      <c r="G10" s="43">
        <v>6174.3146399999996</v>
      </c>
      <c r="H10" s="44">
        <v>2.4549185696197001E-2</v>
      </c>
      <c r="I10" s="45">
        <v>3.1131000000000002</v>
      </c>
      <c r="J10" s="45">
        <v>6.8190999999999997</v>
      </c>
      <c r="K10" s="13">
        <v>0</v>
      </c>
      <c r="L10" s="13">
        <v>0</v>
      </c>
      <c r="M10" s="13">
        <v>0</v>
      </c>
      <c r="N10" s="13">
        <v>0</v>
      </c>
      <c r="O10" s="13">
        <v>1</v>
      </c>
      <c r="P10" s="13">
        <v>0</v>
      </c>
      <c r="Q10" s="13">
        <v>0</v>
      </c>
      <c r="R10" s="13">
        <v>1</v>
      </c>
      <c r="S10" s="13">
        <v>0</v>
      </c>
    </row>
    <row r="11" spans="1:19" ht="15" customHeight="1" x14ac:dyDescent="0.35">
      <c r="A11" s="34" t="s">
        <v>70</v>
      </c>
      <c r="B11" s="35">
        <v>2020</v>
      </c>
      <c r="C11" s="36">
        <v>21.1</v>
      </c>
      <c r="D11" s="35" t="s">
        <v>71</v>
      </c>
      <c r="E11" s="37">
        <v>853.61</v>
      </c>
      <c r="F11" s="35" t="s">
        <v>26</v>
      </c>
      <c r="G11" s="37">
        <v>5403.3513000000003</v>
      </c>
      <c r="H11" s="38">
        <v>2.46896245070851E-2</v>
      </c>
      <c r="I11" s="39">
        <v>3.0493000000000001</v>
      </c>
      <c r="J11" s="39">
        <v>6.7495000000000003</v>
      </c>
      <c r="K11" s="13">
        <v>0</v>
      </c>
      <c r="L11" s="13">
        <v>0</v>
      </c>
      <c r="M11" s="13">
        <v>0</v>
      </c>
      <c r="N11" s="13">
        <v>0</v>
      </c>
      <c r="O11" s="13">
        <v>1</v>
      </c>
      <c r="P11" s="13">
        <v>0</v>
      </c>
      <c r="Q11" s="13">
        <v>0</v>
      </c>
      <c r="R11" s="13">
        <v>1</v>
      </c>
      <c r="S11" s="13">
        <v>0</v>
      </c>
    </row>
    <row r="12" spans="1:19" ht="15" customHeight="1" x14ac:dyDescent="0.35">
      <c r="A12" s="40" t="s">
        <v>70</v>
      </c>
      <c r="B12" s="41">
        <v>2021</v>
      </c>
      <c r="C12" s="42">
        <v>31.83</v>
      </c>
      <c r="D12" s="41" t="s">
        <v>71</v>
      </c>
      <c r="E12" s="43">
        <v>844.41</v>
      </c>
      <c r="F12" s="41" t="s">
        <v>26</v>
      </c>
      <c r="G12" s="43">
        <v>8063.2710900000002</v>
      </c>
      <c r="H12" s="44">
        <v>3.76503708259898E-2</v>
      </c>
      <c r="I12" s="45">
        <v>3.4603999999999999</v>
      </c>
      <c r="J12" s="45">
        <v>6.7385999999999999</v>
      </c>
      <c r="K12" s="13">
        <v>0</v>
      </c>
      <c r="L12" s="13">
        <v>0</v>
      </c>
      <c r="M12" s="13">
        <v>0</v>
      </c>
      <c r="N12" s="13">
        <v>0</v>
      </c>
      <c r="O12" s="13">
        <v>1</v>
      </c>
      <c r="P12" s="13">
        <v>0</v>
      </c>
      <c r="Q12" s="13">
        <v>0</v>
      </c>
      <c r="R12" s="13">
        <v>1</v>
      </c>
      <c r="S12" s="13">
        <v>0</v>
      </c>
    </row>
    <row r="13" spans="1:19" ht="15" customHeight="1" x14ac:dyDescent="0.35">
      <c r="A13" s="34" t="s">
        <v>70</v>
      </c>
      <c r="B13" s="35">
        <v>2022</v>
      </c>
      <c r="C13" s="36">
        <v>39.96</v>
      </c>
      <c r="D13" s="35" t="s">
        <v>71</v>
      </c>
      <c r="E13" s="37">
        <v>857.27</v>
      </c>
      <c r="F13" s="35" t="s">
        <v>26</v>
      </c>
      <c r="G13" s="37">
        <v>10276.95276</v>
      </c>
      <c r="H13" s="38">
        <v>4.6558775210598098E-2</v>
      </c>
      <c r="I13" s="39">
        <v>3.6879</v>
      </c>
      <c r="J13" s="39">
        <v>6.7538</v>
      </c>
      <c r="K13" s="13">
        <v>0</v>
      </c>
      <c r="L13" s="13">
        <v>0</v>
      </c>
      <c r="M13" s="13">
        <v>0</v>
      </c>
      <c r="N13" s="13">
        <v>0</v>
      </c>
      <c r="O13" s="13">
        <v>1</v>
      </c>
      <c r="P13" s="13">
        <v>0</v>
      </c>
      <c r="Q13" s="13">
        <v>0</v>
      </c>
      <c r="R13" s="13">
        <v>1</v>
      </c>
      <c r="S13" s="13">
        <v>0</v>
      </c>
    </row>
    <row r="14" spans="1:19" ht="15" customHeight="1" x14ac:dyDescent="0.35">
      <c r="A14" s="40" t="s">
        <v>70</v>
      </c>
      <c r="B14" s="41">
        <v>2023</v>
      </c>
      <c r="C14" s="42">
        <v>48.03</v>
      </c>
      <c r="D14" s="41" t="s">
        <v>71</v>
      </c>
      <c r="E14" s="43">
        <v>875.95</v>
      </c>
      <c r="F14" s="41" t="s">
        <v>26</v>
      </c>
      <c r="G14" s="43">
        <v>12621.563550000001</v>
      </c>
      <c r="H14" s="44">
        <v>5.4769371115799097E-2</v>
      </c>
      <c r="I14" s="45">
        <v>3.8717999999999999</v>
      </c>
      <c r="J14" s="45">
        <v>6.7752999999999997</v>
      </c>
      <c r="K14" s="13">
        <v>0</v>
      </c>
      <c r="L14" s="13">
        <v>0</v>
      </c>
      <c r="M14" s="13">
        <v>0</v>
      </c>
      <c r="N14" s="13">
        <v>0</v>
      </c>
      <c r="O14" s="13">
        <v>1</v>
      </c>
      <c r="P14" s="13">
        <v>0</v>
      </c>
      <c r="Q14" s="13">
        <v>0</v>
      </c>
      <c r="R14" s="13">
        <v>1</v>
      </c>
      <c r="S14" s="13">
        <v>0</v>
      </c>
    </row>
    <row r="15" spans="1:19" ht="15" customHeight="1" x14ac:dyDescent="0.35">
      <c r="A15" s="34" t="s">
        <v>73</v>
      </c>
      <c r="B15" s="35">
        <v>2018</v>
      </c>
      <c r="C15" s="36">
        <v>8.84</v>
      </c>
      <c r="D15" s="35" t="s">
        <v>72</v>
      </c>
      <c r="E15" s="37">
        <v>442.66</v>
      </c>
      <c r="F15" s="35" t="s">
        <v>24</v>
      </c>
      <c r="G15" s="37">
        <v>1173.9343200000001</v>
      </c>
      <c r="H15" s="38">
        <v>1.9925167921381201E-2</v>
      </c>
      <c r="I15" s="39">
        <v>2.1793</v>
      </c>
      <c r="J15" s="39">
        <v>6.0928000000000004</v>
      </c>
      <c r="K15" s="13">
        <v>0</v>
      </c>
      <c r="L15" s="13">
        <v>0</v>
      </c>
      <c r="M15" s="13">
        <v>0</v>
      </c>
      <c r="N15" s="13">
        <v>1</v>
      </c>
      <c r="O15" s="13">
        <v>0</v>
      </c>
      <c r="P15" s="13">
        <v>0</v>
      </c>
      <c r="Q15" s="13">
        <v>1</v>
      </c>
      <c r="R15" s="13">
        <v>0</v>
      </c>
      <c r="S15" s="13">
        <v>1</v>
      </c>
    </row>
    <row r="16" spans="1:19" ht="15" customHeight="1" x14ac:dyDescent="0.35">
      <c r="A16" s="40" t="s">
        <v>73</v>
      </c>
      <c r="B16" s="41">
        <v>2019</v>
      </c>
      <c r="C16" s="42">
        <v>4.49</v>
      </c>
      <c r="D16" s="41" t="s">
        <v>72</v>
      </c>
      <c r="E16" s="43">
        <v>439.79</v>
      </c>
      <c r="F16" s="41" t="s">
        <v>24</v>
      </c>
      <c r="G16" s="43">
        <v>592.39712999999995</v>
      </c>
      <c r="H16" s="44">
        <v>1.01862564940221E-2</v>
      </c>
      <c r="I16" s="45">
        <v>1.5019</v>
      </c>
      <c r="J16" s="45">
        <v>6.0862999999999996</v>
      </c>
      <c r="K16" s="13">
        <v>0</v>
      </c>
      <c r="L16" s="13">
        <v>0</v>
      </c>
      <c r="M16" s="13">
        <v>0</v>
      </c>
      <c r="N16" s="13">
        <v>1</v>
      </c>
      <c r="O16" s="13">
        <v>0</v>
      </c>
      <c r="P16" s="13">
        <v>0</v>
      </c>
      <c r="Q16" s="13">
        <v>1</v>
      </c>
      <c r="R16" s="13">
        <v>0</v>
      </c>
      <c r="S16" s="13">
        <v>0</v>
      </c>
    </row>
    <row r="17" spans="1:19" ht="15" customHeight="1" x14ac:dyDescent="0.35">
      <c r="A17" s="34" t="s">
        <v>73</v>
      </c>
      <c r="B17" s="35">
        <v>2020</v>
      </c>
      <c r="C17" s="36">
        <v>4.78</v>
      </c>
      <c r="D17" s="35" t="s">
        <v>72</v>
      </c>
      <c r="E17" s="37">
        <v>425.46</v>
      </c>
      <c r="F17" s="35" t="s">
        <v>24</v>
      </c>
      <c r="G17" s="37">
        <v>610.10964000000001</v>
      </c>
      <c r="H17" s="38">
        <v>1.12085541434132E-2</v>
      </c>
      <c r="I17" s="39">
        <v>1.5644</v>
      </c>
      <c r="J17" s="39">
        <v>6.0532000000000004</v>
      </c>
      <c r="K17" s="13">
        <v>0</v>
      </c>
      <c r="L17" s="13">
        <v>0</v>
      </c>
      <c r="M17" s="13">
        <v>0</v>
      </c>
      <c r="N17" s="13">
        <v>1</v>
      </c>
      <c r="O17" s="13">
        <v>0</v>
      </c>
      <c r="P17" s="13">
        <v>0</v>
      </c>
      <c r="Q17" s="13">
        <v>1</v>
      </c>
      <c r="R17" s="13">
        <v>0</v>
      </c>
      <c r="S17" s="13">
        <v>0</v>
      </c>
    </row>
    <row r="18" spans="1:19" ht="15" customHeight="1" x14ac:dyDescent="0.35">
      <c r="A18" s="40" t="s">
        <v>73</v>
      </c>
      <c r="B18" s="41">
        <v>2021</v>
      </c>
      <c r="C18" s="42">
        <v>4.38</v>
      </c>
      <c r="D18" s="41" t="s">
        <v>72</v>
      </c>
      <c r="E18" s="43">
        <v>430.48</v>
      </c>
      <c r="F18" s="41" t="s">
        <v>24</v>
      </c>
      <c r="G18" s="43">
        <v>565.65071999999998</v>
      </c>
      <c r="H18" s="44">
        <v>1.01511078149625E-2</v>
      </c>
      <c r="I18" s="45">
        <v>1.4770000000000001</v>
      </c>
      <c r="J18" s="45">
        <v>6.0648999999999997</v>
      </c>
      <c r="K18" s="13">
        <v>0</v>
      </c>
      <c r="L18" s="13">
        <v>0</v>
      </c>
      <c r="M18" s="13">
        <v>0</v>
      </c>
      <c r="N18" s="13">
        <v>1</v>
      </c>
      <c r="O18" s="13">
        <v>0</v>
      </c>
      <c r="P18" s="13">
        <v>0</v>
      </c>
      <c r="Q18" s="13">
        <v>1</v>
      </c>
      <c r="R18" s="13">
        <v>0</v>
      </c>
      <c r="S18" s="13">
        <v>0</v>
      </c>
    </row>
    <row r="19" spans="1:19" ht="15" customHeight="1" x14ac:dyDescent="0.35">
      <c r="A19" s="34" t="s">
        <v>73</v>
      </c>
      <c r="B19" s="35">
        <v>2022</v>
      </c>
      <c r="C19" s="36">
        <v>5.63</v>
      </c>
      <c r="D19" s="35" t="s">
        <v>72</v>
      </c>
      <c r="E19" s="37">
        <v>450.36</v>
      </c>
      <c r="F19" s="35" t="s">
        <v>24</v>
      </c>
      <c r="G19" s="37">
        <v>760.65804000000003</v>
      </c>
      <c r="H19" s="38">
        <v>1.24734136830911E-2</v>
      </c>
      <c r="I19" s="39">
        <v>1.7281</v>
      </c>
      <c r="J19" s="39">
        <v>6.11</v>
      </c>
      <c r="K19" s="13">
        <v>0</v>
      </c>
      <c r="L19" s="13">
        <v>0</v>
      </c>
      <c r="M19" s="13">
        <v>0</v>
      </c>
      <c r="N19" s="13">
        <v>1</v>
      </c>
      <c r="O19" s="13">
        <v>0</v>
      </c>
      <c r="P19" s="13">
        <v>0</v>
      </c>
      <c r="Q19" s="13">
        <v>1</v>
      </c>
      <c r="R19" s="13">
        <v>0</v>
      </c>
      <c r="S19" s="13">
        <v>0</v>
      </c>
    </row>
    <row r="20" spans="1:19" ht="15" customHeight="1" x14ac:dyDescent="0.35">
      <c r="A20" s="40" t="s">
        <v>73</v>
      </c>
      <c r="B20" s="41">
        <v>2023</v>
      </c>
      <c r="C20" s="42">
        <v>4.97</v>
      </c>
      <c r="D20" s="41" t="s">
        <v>72</v>
      </c>
      <c r="E20" s="43">
        <v>435.28</v>
      </c>
      <c r="F20" s="41" t="s">
        <v>24</v>
      </c>
      <c r="G20" s="43">
        <v>649.00247999999999</v>
      </c>
      <c r="H20" s="44">
        <v>1.13917667552948E-2</v>
      </c>
      <c r="I20" s="45">
        <v>1.6033999999999999</v>
      </c>
      <c r="J20" s="45">
        <v>6.0759999999999996</v>
      </c>
      <c r="K20" s="13">
        <v>0</v>
      </c>
      <c r="L20" s="13">
        <v>0</v>
      </c>
      <c r="M20" s="13">
        <v>0</v>
      </c>
      <c r="N20" s="13">
        <v>1</v>
      </c>
      <c r="O20" s="13">
        <v>0</v>
      </c>
      <c r="P20" s="13">
        <v>0</v>
      </c>
      <c r="Q20" s="13">
        <v>1</v>
      </c>
      <c r="R20" s="13">
        <v>0</v>
      </c>
      <c r="S20" s="13">
        <v>0</v>
      </c>
    </row>
    <row r="21" spans="1:19" ht="15" customHeight="1" x14ac:dyDescent="0.35">
      <c r="A21" s="34" t="s">
        <v>74</v>
      </c>
      <c r="B21" s="35">
        <v>2023</v>
      </c>
      <c r="C21" s="36">
        <v>35.340000000000003</v>
      </c>
      <c r="D21" s="35" t="s">
        <v>71</v>
      </c>
      <c r="E21" s="37">
        <v>61.93</v>
      </c>
      <c r="F21" s="35" t="s">
        <v>22</v>
      </c>
      <c r="G21" s="37">
        <v>656.58186000000001</v>
      </c>
      <c r="H21" s="38">
        <v>0.56157635467980305</v>
      </c>
      <c r="I21" s="39">
        <v>3.5649999999999999</v>
      </c>
      <c r="J21" s="39">
        <v>4.1260000000000003</v>
      </c>
      <c r="K21" s="13">
        <v>0</v>
      </c>
      <c r="L21" s="13">
        <v>0</v>
      </c>
      <c r="M21" s="13">
        <v>1</v>
      </c>
      <c r="N21" s="13">
        <v>0</v>
      </c>
      <c r="O21" s="13">
        <v>0</v>
      </c>
      <c r="P21" s="13">
        <v>0</v>
      </c>
      <c r="Q21" s="13">
        <v>0</v>
      </c>
      <c r="R21" s="13">
        <v>1</v>
      </c>
      <c r="S21" s="13">
        <v>1</v>
      </c>
    </row>
    <row r="22" spans="1:19" ht="15" customHeight="1" x14ac:dyDescent="0.35">
      <c r="A22" s="40" t="s">
        <v>75</v>
      </c>
      <c r="B22" s="41">
        <v>2021</v>
      </c>
      <c r="C22" s="42">
        <v>8.32</v>
      </c>
      <c r="D22" s="41" t="s">
        <v>72</v>
      </c>
      <c r="E22" s="43">
        <v>676.79</v>
      </c>
      <c r="F22" s="41" t="s">
        <v>24</v>
      </c>
      <c r="G22" s="43">
        <v>1689.26784</v>
      </c>
      <c r="H22" s="44">
        <v>1.2275188480207699E-2</v>
      </c>
      <c r="I22" s="45">
        <v>2.1187</v>
      </c>
      <c r="J22" s="45">
        <v>6.5174000000000003</v>
      </c>
      <c r="K22" s="13">
        <v>0</v>
      </c>
      <c r="L22" s="13">
        <v>0</v>
      </c>
      <c r="M22" s="13">
        <v>0</v>
      </c>
      <c r="N22" s="13">
        <v>1</v>
      </c>
      <c r="O22" s="13">
        <v>0</v>
      </c>
      <c r="P22" s="13">
        <v>0</v>
      </c>
      <c r="Q22" s="13">
        <v>1</v>
      </c>
      <c r="R22" s="13">
        <v>0</v>
      </c>
      <c r="S22" s="13">
        <v>1</v>
      </c>
    </row>
    <row r="23" spans="1:19" ht="15" customHeight="1" x14ac:dyDescent="0.35">
      <c r="A23" s="34" t="s">
        <v>76</v>
      </c>
      <c r="B23" s="35">
        <v>2015</v>
      </c>
      <c r="C23" s="36">
        <v>8.2100000000000009</v>
      </c>
      <c r="D23" s="35" t="s">
        <v>71</v>
      </c>
      <c r="E23" s="37">
        <v>11103.35</v>
      </c>
      <c r="F23" s="35" t="s">
        <v>20</v>
      </c>
      <c r="G23" s="37">
        <v>27347.551049999998</v>
      </c>
      <c r="H23" s="38">
        <v>7.3934989441074895E-4</v>
      </c>
      <c r="I23" s="39">
        <v>2.1053999999999999</v>
      </c>
      <c r="J23" s="39">
        <v>9.3149999999999995</v>
      </c>
      <c r="K23" s="13">
        <v>0</v>
      </c>
      <c r="L23" s="13">
        <v>1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1</v>
      </c>
      <c r="S23" s="13">
        <v>1</v>
      </c>
    </row>
    <row r="24" spans="1:19" ht="15" customHeight="1" x14ac:dyDescent="0.35">
      <c r="A24" s="40" t="s">
        <v>76</v>
      </c>
      <c r="B24" s="41">
        <v>2016</v>
      </c>
      <c r="C24" s="42">
        <v>8.0299999999999994</v>
      </c>
      <c r="D24" s="41" t="s">
        <v>71</v>
      </c>
      <c r="E24" s="43">
        <v>10955.02</v>
      </c>
      <c r="F24" s="41" t="s">
        <v>20</v>
      </c>
      <c r="G24" s="43">
        <v>26390.643179999999</v>
      </c>
      <c r="H24" s="44">
        <v>7.3293038895511304E-4</v>
      </c>
      <c r="I24" s="45">
        <v>2.0832000000000002</v>
      </c>
      <c r="J24" s="45">
        <v>9.3016000000000005</v>
      </c>
      <c r="K24" s="13">
        <v>0</v>
      </c>
      <c r="L24" s="13">
        <v>1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  <c r="R24" s="13">
        <v>1</v>
      </c>
      <c r="S24" s="13">
        <v>0</v>
      </c>
    </row>
    <row r="25" spans="1:19" ht="15" customHeight="1" x14ac:dyDescent="0.35">
      <c r="A25" s="34" t="s">
        <v>76</v>
      </c>
      <c r="B25" s="35">
        <v>2017</v>
      </c>
      <c r="C25" s="36">
        <v>7.4</v>
      </c>
      <c r="D25" s="35" t="s">
        <v>71</v>
      </c>
      <c r="E25" s="37">
        <v>11189.72</v>
      </c>
      <c r="F25" s="35" t="s">
        <v>20</v>
      </c>
      <c r="G25" s="37">
        <v>24841.178400000001</v>
      </c>
      <c r="H25" s="38">
        <v>6.6126218867061301E-4</v>
      </c>
      <c r="I25" s="39">
        <v>2.0015000000000001</v>
      </c>
      <c r="J25" s="39">
        <v>9.3228000000000009</v>
      </c>
      <c r="K25" s="13">
        <v>0</v>
      </c>
      <c r="L25" s="13">
        <v>1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1</v>
      </c>
      <c r="S25" s="13">
        <v>0</v>
      </c>
    </row>
    <row r="26" spans="1:19" ht="15" customHeight="1" x14ac:dyDescent="0.35">
      <c r="A26" s="40" t="s">
        <v>76</v>
      </c>
      <c r="B26" s="41">
        <v>2018</v>
      </c>
      <c r="C26" s="42">
        <v>9.44</v>
      </c>
      <c r="D26" s="41" t="s">
        <v>71</v>
      </c>
      <c r="E26" s="43">
        <v>11662.12</v>
      </c>
      <c r="F26" s="41" t="s">
        <v>20</v>
      </c>
      <c r="G26" s="43">
        <v>33027.12384</v>
      </c>
      <c r="H26" s="44">
        <v>8.09388911371914E-4</v>
      </c>
      <c r="I26" s="45">
        <v>2.2450000000000001</v>
      </c>
      <c r="J26" s="45">
        <v>9.3641000000000005</v>
      </c>
      <c r="K26" s="13">
        <v>0</v>
      </c>
      <c r="L26" s="13">
        <v>1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  <c r="R26" s="13">
        <v>1</v>
      </c>
      <c r="S26" s="13">
        <v>0</v>
      </c>
    </row>
    <row r="27" spans="1:19" ht="15" customHeight="1" x14ac:dyDescent="0.35">
      <c r="A27" s="34" t="s">
        <v>76</v>
      </c>
      <c r="B27" s="35">
        <v>2019</v>
      </c>
      <c r="C27" s="36">
        <v>10.4</v>
      </c>
      <c r="D27" s="35" t="s">
        <v>71</v>
      </c>
      <c r="E27" s="37">
        <v>11915.69</v>
      </c>
      <c r="F27" s="35" t="s">
        <v>20</v>
      </c>
      <c r="G27" s="37">
        <v>37176.952799999999</v>
      </c>
      <c r="H27" s="38">
        <v>8.7272556389400102E-4</v>
      </c>
      <c r="I27" s="39">
        <v>2.3418000000000001</v>
      </c>
      <c r="J27" s="39">
        <v>9.3856000000000002</v>
      </c>
      <c r="K27" s="13">
        <v>0</v>
      </c>
      <c r="L27" s="13">
        <v>1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1</v>
      </c>
      <c r="S27" s="13">
        <v>0</v>
      </c>
    </row>
    <row r="28" spans="1:19" ht="15" customHeight="1" x14ac:dyDescent="0.35">
      <c r="A28" s="40" t="s">
        <v>76</v>
      </c>
      <c r="B28" s="41">
        <v>2020</v>
      </c>
      <c r="C28" s="42">
        <v>12.2</v>
      </c>
      <c r="D28" s="41" t="s">
        <v>71</v>
      </c>
      <c r="E28" s="43">
        <v>12084.55</v>
      </c>
      <c r="F28" s="41" t="s">
        <v>20</v>
      </c>
      <c r="G28" s="43">
        <v>44229.453000000001</v>
      </c>
      <c r="H28" s="44">
        <v>1.00946998688517E-3</v>
      </c>
      <c r="I28" s="45">
        <v>2.5013999999999998</v>
      </c>
      <c r="J28" s="45">
        <v>9.3996999999999993</v>
      </c>
      <c r="K28" s="13">
        <v>0</v>
      </c>
      <c r="L28" s="13">
        <v>1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1</v>
      </c>
      <c r="S28" s="13">
        <v>0</v>
      </c>
    </row>
    <row r="29" spans="1:19" ht="15" customHeight="1" x14ac:dyDescent="0.35">
      <c r="A29" s="34" t="s">
        <v>76</v>
      </c>
      <c r="B29" s="35">
        <v>2021</v>
      </c>
      <c r="C29" s="36">
        <v>4.32</v>
      </c>
      <c r="D29" s="35" t="s">
        <v>71</v>
      </c>
      <c r="E29" s="37">
        <v>12665.78</v>
      </c>
      <c r="F29" s="35" t="s">
        <v>20</v>
      </c>
      <c r="G29" s="37">
        <v>16414.850880000002</v>
      </c>
      <c r="H29" s="38">
        <v>3.4104958008270502E-4</v>
      </c>
      <c r="I29" s="39">
        <v>1.4633</v>
      </c>
      <c r="J29" s="39">
        <v>9.4466999999999999</v>
      </c>
      <c r="K29" s="13">
        <v>0</v>
      </c>
      <c r="L29" s="13">
        <v>1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1</v>
      </c>
      <c r="S29" s="13">
        <v>0</v>
      </c>
    </row>
    <row r="30" spans="1:19" ht="15" customHeight="1" x14ac:dyDescent="0.35">
      <c r="A30" s="40" t="s">
        <v>76</v>
      </c>
      <c r="B30" s="41">
        <v>2022</v>
      </c>
      <c r="C30" s="42">
        <v>6.53</v>
      </c>
      <c r="D30" s="41" t="s">
        <v>71</v>
      </c>
      <c r="E30" s="43">
        <v>12651.27</v>
      </c>
      <c r="F30" s="41" t="s">
        <v>20</v>
      </c>
      <c r="G30" s="43">
        <v>24783.837930000002</v>
      </c>
      <c r="H30" s="44">
        <v>5.1611291886752297E-4</v>
      </c>
      <c r="I30" s="45">
        <v>1.8764000000000001</v>
      </c>
      <c r="J30" s="45">
        <v>9.4454999999999991</v>
      </c>
      <c r="K30" s="13">
        <v>0</v>
      </c>
      <c r="L30" s="13">
        <v>1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1</v>
      </c>
      <c r="S30" s="13">
        <v>0</v>
      </c>
    </row>
    <row r="31" spans="1:19" ht="15" customHeight="1" x14ac:dyDescent="0.35">
      <c r="A31" s="34" t="s">
        <v>76</v>
      </c>
      <c r="B31" s="35">
        <v>2023</v>
      </c>
      <c r="C31" s="36">
        <v>12.96</v>
      </c>
      <c r="D31" s="35" t="s">
        <v>71</v>
      </c>
      <c r="E31" s="37">
        <v>13152.05</v>
      </c>
      <c r="F31" s="35" t="s">
        <v>20</v>
      </c>
      <c r="G31" s="37">
        <v>51135.170400000003</v>
      </c>
      <c r="H31" s="38">
        <v>9.8532279585343292E-4</v>
      </c>
      <c r="I31" s="39">
        <v>2.5619000000000001</v>
      </c>
      <c r="J31" s="39">
        <v>9.4842999999999993</v>
      </c>
      <c r="K31" s="13">
        <v>0</v>
      </c>
      <c r="L31" s="13">
        <v>1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1</v>
      </c>
      <c r="S31" s="13">
        <v>0</v>
      </c>
    </row>
    <row r="32" spans="1:19" ht="15" customHeight="1" x14ac:dyDescent="0.35">
      <c r="A32" s="40" t="s">
        <v>77</v>
      </c>
      <c r="B32" s="41">
        <v>2015</v>
      </c>
      <c r="C32" s="42">
        <v>23.78</v>
      </c>
      <c r="D32" s="41" t="s">
        <v>72</v>
      </c>
      <c r="E32" s="43">
        <v>789.07</v>
      </c>
      <c r="F32" s="41" t="s">
        <v>26</v>
      </c>
      <c r="G32" s="43">
        <v>5629.2253799999999</v>
      </c>
      <c r="H32" s="44">
        <v>3.0098598858328999E-2</v>
      </c>
      <c r="I32" s="45">
        <v>3.1688000000000001</v>
      </c>
      <c r="J32" s="45">
        <v>6.6708999999999996</v>
      </c>
      <c r="K32" s="13">
        <v>0</v>
      </c>
      <c r="L32" s="13">
        <v>0</v>
      </c>
      <c r="M32" s="13">
        <v>0</v>
      </c>
      <c r="N32" s="13">
        <v>0</v>
      </c>
      <c r="O32" s="13">
        <v>1</v>
      </c>
      <c r="P32" s="13">
        <v>0</v>
      </c>
      <c r="Q32" s="13">
        <v>1</v>
      </c>
      <c r="R32" s="13">
        <v>0</v>
      </c>
      <c r="S32" s="13">
        <v>1</v>
      </c>
    </row>
    <row r="33" spans="1:19" ht="15" customHeight="1" x14ac:dyDescent="0.35">
      <c r="A33" s="34" t="s">
        <v>77</v>
      </c>
      <c r="B33" s="35">
        <v>2016</v>
      </c>
      <c r="C33" s="36">
        <v>23.06</v>
      </c>
      <c r="D33" s="35" t="s">
        <v>72</v>
      </c>
      <c r="E33" s="37">
        <v>886.24</v>
      </c>
      <c r="F33" s="35" t="s">
        <v>26</v>
      </c>
      <c r="G33" s="37">
        <v>6131.0083199999999</v>
      </c>
      <c r="H33" s="38">
        <v>2.5990712772192399E-2</v>
      </c>
      <c r="I33" s="39">
        <v>3.1381000000000001</v>
      </c>
      <c r="J33" s="39">
        <v>6.7869999999999999</v>
      </c>
      <c r="K33" s="13">
        <v>0</v>
      </c>
      <c r="L33" s="13">
        <v>0</v>
      </c>
      <c r="M33" s="13">
        <v>0</v>
      </c>
      <c r="N33" s="13">
        <v>0</v>
      </c>
      <c r="O33" s="13">
        <v>1</v>
      </c>
      <c r="P33" s="13">
        <v>0</v>
      </c>
      <c r="Q33" s="13">
        <v>1</v>
      </c>
      <c r="R33" s="13">
        <v>0</v>
      </c>
      <c r="S33" s="13">
        <v>0</v>
      </c>
    </row>
    <row r="34" spans="1:19" ht="15" customHeight="1" x14ac:dyDescent="0.35">
      <c r="A34" s="40" t="s">
        <v>77</v>
      </c>
      <c r="B34" s="41">
        <v>2017</v>
      </c>
      <c r="C34" s="42">
        <v>22.54</v>
      </c>
      <c r="D34" s="41" t="s">
        <v>72</v>
      </c>
      <c r="E34" s="43">
        <v>905.03</v>
      </c>
      <c r="F34" s="41" t="s">
        <v>26</v>
      </c>
      <c r="G34" s="43">
        <v>6119.81286</v>
      </c>
      <c r="H34" s="44">
        <v>2.4877763429467001E-2</v>
      </c>
      <c r="I34" s="45">
        <v>3.1153</v>
      </c>
      <c r="J34" s="45">
        <v>6.8079999999999998</v>
      </c>
      <c r="K34" s="13">
        <v>0</v>
      </c>
      <c r="L34" s="13">
        <v>0</v>
      </c>
      <c r="M34" s="13">
        <v>0</v>
      </c>
      <c r="N34" s="13">
        <v>0</v>
      </c>
      <c r="O34" s="13">
        <v>1</v>
      </c>
      <c r="P34" s="13">
        <v>0</v>
      </c>
      <c r="Q34" s="13">
        <v>1</v>
      </c>
      <c r="R34" s="13">
        <v>0</v>
      </c>
      <c r="S34" s="13">
        <v>0</v>
      </c>
    </row>
    <row r="35" spans="1:19" ht="15" customHeight="1" x14ac:dyDescent="0.35">
      <c r="A35" s="34" t="s">
        <v>77</v>
      </c>
      <c r="B35" s="35">
        <v>2018</v>
      </c>
      <c r="C35" s="36">
        <v>27.13</v>
      </c>
      <c r="D35" s="35" t="s">
        <v>72</v>
      </c>
      <c r="E35" s="37">
        <v>923.96</v>
      </c>
      <c r="F35" s="35" t="s">
        <v>26</v>
      </c>
      <c r="G35" s="37">
        <v>7520.1104400000004</v>
      </c>
      <c r="H35" s="38">
        <v>2.9330998097215E-2</v>
      </c>
      <c r="I35" s="39">
        <v>3.3006000000000002</v>
      </c>
      <c r="J35" s="39">
        <v>6.8287000000000004</v>
      </c>
      <c r="K35" s="13">
        <v>0</v>
      </c>
      <c r="L35" s="13">
        <v>0</v>
      </c>
      <c r="M35" s="13">
        <v>0</v>
      </c>
      <c r="N35" s="13">
        <v>0</v>
      </c>
      <c r="O35" s="13">
        <v>1</v>
      </c>
      <c r="P35" s="13">
        <v>0</v>
      </c>
      <c r="Q35" s="13">
        <v>1</v>
      </c>
      <c r="R35" s="13">
        <v>0</v>
      </c>
      <c r="S35" s="13">
        <v>0</v>
      </c>
    </row>
    <row r="36" spans="1:19" ht="15" customHeight="1" x14ac:dyDescent="0.35">
      <c r="A36" s="40" t="s">
        <v>77</v>
      </c>
      <c r="B36" s="41">
        <v>2019</v>
      </c>
      <c r="C36" s="42">
        <v>29.99</v>
      </c>
      <c r="D36" s="41" t="s">
        <v>72</v>
      </c>
      <c r="E36" s="43">
        <v>915.12</v>
      </c>
      <c r="F36" s="41" t="s">
        <v>26</v>
      </c>
      <c r="G36" s="43">
        <v>8233.3346399999991</v>
      </c>
      <c r="H36" s="44">
        <v>3.2735886128454801E-2</v>
      </c>
      <c r="I36" s="45">
        <v>3.4009</v>
      </c>
      <c r="J36" s="45">
        <v>6.8190999999999997</v>
      </c>
      <c r="K36" s="13">
        <v>0</v>
      </c>
      <c r="L36" s="13">
        <v>0</v>
      </c>
      <c r="M36" s="13">
        <v>0</v>
      </c>
      <c r="N36" s="13">
        <v>0</v>
      </c>
      <c r="O36" s="13">
        <v>1</v>
      </c>
      <c r="P36" s="13">
        <v>0</v>
      </c>
      <c r="Q36" s="13">
        <v>1</v>
      </c>
      <c r="R36" s="13">
        <v>0</v>
      </c>
      <c r="S36" s="13">
        <v>0</v>
      </c>
    </row>
    <row r="37" spans="1:19" ht="15" customHeight="1" x14ac:dyDescent="0.35">
      <c r="A37" s="34" t="s">
        <v>77</v>
      </c>
      <c r="B37" s="35">
        <v>2020</v>
      </c>
      <c r="C37" s="36">
        <v>28.14</v>
      </c>
      <c r="D37" s="35" t="s">
        <v>72</v>
      </c>
      <c r="E37" s="37">
        <v>853.61</v>
      </c>
      <c r="F37" s="35" t="s">
        <v>26</v>
      </c>
      <c r="G37" s="37">
        <v>7206.17562</v>
      </c>
      <c r="H37" s="38">
        <v>3.2927300172008303E-2</v>
      </c>
      <c r="I37" s="39">
        <v>3.3372000000000002</v>
      </c>
      <c r="J37" s="39">
        <v>6.7495000000000003</v>
      </c>
      <c r="K37" s="13">
        <v>0</v>
      </c>
      <c r="L37" s="13">
        <v>0</v>
      </c>
      <c r="M37" s="13">
        <v>0</v>
      </c>
      <c r="N37" s="13">
        <v>0</v>
      </c>
      <c r="O37" s="13">
        <v>1</v>
      </c>
      <c r="P37" s="13">
        <v>0</v>
      </c>
      <c r="Q37" s="13">
        <v>1</v>
      </c>
      <c r="R37" s="13">
        <v>0</v>
      </c>
      <c r="S37" s="13">
        <v>0</v>
      </c>
    </row>
    <row r="38" spans="1:19" ht="15" customHeight="1" x14ac:dyDescent="0.35">
      <c r="A38" s="40" t="s">
        <v>77</v>
      </c>
      <c r="B38" s="41">
        <v>2021</v>
      </c>
      <c r="C38" s="42">
        <v>35.81</v>
      </c>
      <c r="D38" s="41" t="s">
        <v>72</v>
      </c>
      <c r="E38" s="43">
        <v>844.41</v>
      </c>
      <c r="F38" s="41" t="s">
        <v>26</v>
      </c>
      <c r="G38" s="43">
        <v>9071.4966299999996</v>
      </c>
      <c r="H38" s="44">
        <v>4.23581457517654E-2</v>
      </c>
      <c r="I38" s="45">
        <v>3.5781999999999998</v>
      </c>
      <c r="J38" s="45">
        <v>6.7385999999999999</v>
      </c>
      <c r="K38" s="13">
        <v>0</v>
      </c>
      <c r="L38" s="13">
        <v>0</v>
      </c>
      <c r="M38" s="13">
        <v>0</v>
      </c>
      <c r="N38" s="13">
        <v>0</v>
      </c>
      <c r="O38" s="13">
        <v>1</v>
      </c>
      <c r="P38" s="13">
        <v>0</v>
      </c>
      <c r="Q38" s="13">
        <v>1</v>
      </c>
      <c r="R38" s="13">
        <v>0</v>
      </c>
      <c r="S38" s="13">
        <v>0</v>
      </c>
    </row>
    <row r="39" spans="1:19" ht="15" customHeight="1" x14ac:dyDescent="0.35">
      <c r="A39" s="34" t="s">
        <v>77</v>
      </c>
      <c r="B39" s="35">
        <v>2021</v>
      </c>
      <c r="C39" s="36">
        <v>19.899999999999999</v>
      </c>
      <c r="D39" s="35" t="s">
        <v>71</v>
      </c>
      <c r="E39" s="37">
        <v>844.41</v>
      </c>
      <c r="F39" s="35" t="s">
        <v>26</v>
      </c>
      <c r="G39" s="37">
        <v>5041.1277</v>
      </c>
      <c r="H39" s="38">
        <v>2.3538874628878301E-2</v>
      </c>
      <c r="I39" s="39">
        <v>2.9906999999999999</v>
      </c>
      <c r="J39" s="39">
        <v>6.7385999999999999</v>
      </c>
      <c r="K39" s="13">
        <v>0</v>
      </c>
      <c r="L39" s="13">
        <v>0</v>
      </c>
      <c r="M39" s="13">
        <v>0</v>
      </c>
      <c r="N39" s="13">
        <v>0</v>
      </c>
      <c r="O39" s="13">
        <v>1</v>
      </c>
      <c r="P39" s="13">
        <v>0</v>
      </c>
      <c r="Q39" s="13">
        <v>0</v>
      </c>
      <c r="R39" s="13">
        <v>1</v>
      </c>
      <c r="S39" s="13">
        <v>0</v>
      </c>
    </row>
    <row r="40" spans="1:19" ht="15" customHeight="1" x14ac:dyDescent="0.35">
      <c r="A40" s="40" t="s">
        <v>77</v>
      </c>
      <c r="B40" s="41">
        <v>2022</v>
      </c>
      <c r="C40" s="42">
        <v>39.96</v>
      </c>
      <c r="D40" s="41" t="s">
        <v>72</v>
      </c>
      <c r="E40" s="43">
        <v>857.27</v>
      </c>
      <c r="F40" s="41" t="s">
        <v>26</v>
      </c>
      <c r="G40" s="43">
        <v>10276.95276</v>
      </c>
      <c r="H40" s="44">
        <v>4.6558775210598098E-2</v>
      </c>
      <c r="I40" s="45">
        <v>3.6879</v>
      </c>
      <c r="J40" s="45">
        <v>6.7538</v>
      </c>
      <c r="K40" s="13">
        <v>0</v>
      </c>
      <c r="L40" s="13">
        <v>0</v>
      </c>
      <c r="M40" s="13">
        <v>0</v>
      </c>
      <c r="N40" s="13">
        <v>0</v>
      </c>
      <c r="O40" s="13">
        <v>1</v>
      </c>
      <c r="P40" s="13">
        <v>0</v>
      </c>
      <c r="Q40" s="13">
        <v>1</v>
      </c>
      <c r="R40" s="13">
        <v>0</v>
      </c>
      <c r="S40" s="13">
        <v>0</v>
      </c>
    </row>
    <row r="41" spans="1:19" ht="15" customHeight="1" x14ac:dyDescent="0.35">
      <c r="A41" s="34" t="s">
        <v>77</v>
      </c>
      <c r="B41" s="35">
        <v>2022</v>
      </c>
      <c r="C41" s="36">
        <v>19.98</v>
      </c>
      <c r="D41" s="35" t="s">
        <v>71</v>
      </c>
      <c r="E41" s="37">
        <v>857.27</v>
      </c>
      <c r="F41" s="35" t="s">
        <v>26</v>
      </c>
      <c r="G41" s="37">
        <v>5138.4763800000001</v>
      </c>
      <c r="H41" s="38">
        <v>2.3279387605299001E-2</v>
      </c>
      <c r="I41" s="39">
        <v>2.9946999999999999</v>
      </c>
      <c r="J41" s="39">
        <v>6.7538</v>
      </c>
      <c r="K41" s="13">
        <v>0</v>
      </c>
      <c r="L41" s="13">
        <v>0</v>
      </c>
      <c r="M41" s="13">
        <v>0</v>
      </c>
      <c r="N41" s="13">
        <v>0</v>
      </c>
      <c r="O41" s="13">
        <v>1</v>
      </c>
      <c r="P41" s="13">
        <v>0</v>
      </c>
      <c r="Q41" s="13">
        <v>0</v>
      </c>
      <c r="R41" s="13">
        <v>1</v>
      </c>
      <c r="S41" s="13">
        <v>0</v>
      </c>
    </row>
    <row r="42" spans="1:19" ht="15" customHeight="1" x14ac:dyDescent="0.35">
      <c r="A42" s="40" t="s">
        <v>77</v>
      </c>
      <c r="B42" s="41">
        <v>2023</v>
      </c>
      <c r="C42" s="42">
        <v>48.03</v>
      </c>
      <c r="D42" s="41" t="s">
        <v>72</v>
      </c>
      <c r="E42" s="43">
        <v>875.95</v>
      </c>
      <c r="F42" s="41" t="s">
        <v>26</v>
      </c>
      <c r="G42" s="43">
        <v>12621.563550000001</v>
      </c>
      <c r="H42" s="44">
        <v>5.4769371115799097E-2</v>
      </c>
      <c r="I42" s="45">
        <v>3.8717999999999999</v>
      </c>
      <c r="J42" s="45">
        <v>6.7752999999999997</v>
      </c>
      <c r="K42" s="13">
        <v>0</v>
      </c>
      <c r="L42" s="13">
        <v>0</v>
      </c>
      <c r="M42" s="13">
        <v>0</v>
      </c>
      <c r="N42" s="13">
        <v>0</v>
      </c>
      <c r="O42" s="13">
        <v>1</v>
      </c>
      <c r="P42" s="13">
        <v>0</v>
      </c>
      <c r="Q42" s="13">
        <v>1</v>
      </c>
      <c r="R42" s="13">
        <v>0</v>
      </c>
      <c r="S42" s="13">
        <v>0</v>
      </c>
    </row>
    <row r="43" spans="1:19" ht="15" customHeight="1" x14ac:dyDescent="0.35">
      <c r="A43" s="34" t="s">
        <v>77</v>
      </c>
      <c r="B43" s="35">
        <v>2023</v>
      </c>
      <c r="C43" s="36">
        <v>18.47</v>
      </c>
      <c r="D43" s="35" t="s">
        <v>71</v>
      </c>
      <c r="E43" s="37">
        <v>875.95</v>
      </c>
      <c r="F43" s="35" t="s">
        <v>26</v>
      </c>
      <c r="G43" s="37">
        <v>4853.6389499999996</v>
      </c>
      <c r="H43" s="38">
        <v>2.10616340726381E-2</v>
      </c>
      <c r="I43" s="39">
        <v>2.9161000000000001</v>
      </c>
      <c r="J43" s="39">
        <v>6.7752999999999997</v>
      </c>
      <c r="K43" s="13">
        <v>0</v>
      </c>
      <c r="L43" s="13">
        <v>0</v>
      </c>
      <c r="M43" s="13">
        <v>0</v>
      </c>
      <c r="N43" s="13">
        <v>0</v>
      </c>
      <c r="O43" s="13">
        <v>1</v>
      </c>
      <c r="P43" s="13">
        <v>0</v>
      </c>
      <c r="Q43" s="13">
        <v>0</v>
      </c>
      <c r="R43" s="13">
        <v>1</v>
      </c>
      <c r="S43" s="13">
        <v>0</v>
      </c>
    </row>
    <row r="44" spans="1:19" ht="15" customHeight="1" x14ac:dyDescent="0.35">
      <c r="A44" s="40" t="s">
        <v>78</v>
      </c>
      <c r="B44" s="41">
        <v>2015</v>
      </c>
      <c r="C44" s="42">
        <v>12.49</v>
      </c>
      <c r="D44" s="41" t="s">
        <v>71</v>
      </c>
      <c r="E44" s="43">
        <v>5468.96</v>
      </c>
      <c r="F44" s="41" t="s">
        <v>26</v>
      </c>
      <c r="G44" s="43">
        <v>20492.19312</v>
      </c>
      <c r="H44" s="44">
        <v>2.28338050004022E-3</v>
      </c>
      <c r="I44" s="45">
        <v>2.5249000000000001</v>
      </c>
      <c r="J44" s="45">
        <v>8.6067999999999998</v>
      </c>
      <c r="K44" s="13">
        <v>0</v>
      </c>
      <c r="L44" s="13">
        <v>0</v>
      </c>
      <c r="M44" s="13">
        <v>0</v>
      </c>
      <c r="N44" s="13">
        <v>0</v>
      </c>
      <c r="O44" s="13">
        <v>1</v>
      </c>
      <c r="P44" s="13">
        <v>0</v>
      </c>
      <c r="Q44" s="13">
        <v>0</v>
      </c>
      <c r="R44" s="13">
        <v>1</v>
      </c>
      <c r="S44" s="13">
        <v>1</v>
      </c>
    </row>
    <row r="45" spans="1:19" ht="15" customHeight="1" x14ac:dyDescent="0.35">
      <c r="A45" s="34" t="s">
        <v>78</v>
      </c>
      <c r="B45" s="35">
        <v>2016</v>
      </c>
      <c r="C45" s="36">
        <v>12.8</v>
      </c>
      <c r="D45" s="35" t="s">
        <v>71</v>
      </c>
      <c r="E45" s="37">
        <v>5505.43</v>
      </c>
      <c r="F45" s="35" t="s">
        <v>26</v>
      </c>
      <c r="G45" s="37">
        <v>21140.851200000001</v>
      </c>
      <c r="H45" s="38">
        <v>2.32455511102475E-3</v>
      </c>
      <c r="I45" s="39">
        <v>2.5493999999999999</v>
      </c>
      <c r="J45" s="39">
        <v>8.6135000000000002</v>
      </c>
      <c r="K45" s="13">
        <v>0</v>
      </c>
      <c r="L45" s="13">
        <v>0</v>
      </c>
      <c r="M45" s="13">
        <v>0</v>
      </c>
      <c r="N45" s="13">
        <v>0</v>
      </c>
      <c r="O45" s="13">
        <v>1</v>
      </c>
      <c r="P45" s="13">
        <v>0</v>
      </c>
      <c r="Q45" s="13">
        <v>0</v>
      </c>
      <c r="R45" s="13">
        <v>1</v>
      </c>
      <c r="S45" s="13">
        <v>0</v>
      </c>
    </row>
    <row r="46" spans="1:19" ht="15" customHeight="1" x14ac:dyDescent="0.35">
      <c r="A46" s="40" t="s">
        <v>78</v>
      </c>
      <c r="B46" s="41">
        <v>2017</v>
      </c>
      <c r="C46" s="42">
        <v>15.08</v>
      </c>
      <c r="D46" s="41" t="s">
        <v>71</v>
      </c>
      <c r="E46" s="43">
        <v>5459.13</v>
      </c>
      <c r="F46" s="41" t="s">
        <v>26</v>
      </c>
      <c r="G46" s="43">
        <v>24697.10412</v>
      </c>
      <c r="H46" s="44">
        <v>2.76183900383324E-3</v>
      </c>
      <c r="I46" s="45">
        <v>2.7134</v>
      </c>
      <c r="J46" s="45">
        <v>8.6050000000000004</v>
      </c>
      <c r="K46" s="13">
        <v>0</v>
      </c>
      <c r="L46" s="13">
        <v>0</v>
      </c>
      <c r="M46" s="13">
        <v>0</v>
      </c>
      <c r="N46" s="13">
        <v>0</v>
      </c>
      <c r="O46" s="13">
        <v>1</v>
      </c>
      <c r="P46" s="13">
        <v>0</v>
      </c>
      <c r="Q46" s="13">
        <v>0</v>
      </c>
      <c r="R46" s="13">
        <v>1</v>
      </c>
      <c r="S46" s="13">
        <v>0</v>
      </c>
    </row>
    <row r="47" spans="1:19" ht="15" customHeight="1" x14ac:dyDescent="0.35">
      <c r="A47" s="34" t="s">
        <v>78</v>
      </c>
      <c r="B47" s="35">
        <v>2018</v>
      </c>
      <c r="C47" s="36">
        <v>15.1</v>
      </c>
      <c r="D47" s="35" t="s">
        <v>71</v>
      </c>
      <c r="E47" s="37">
        <v>5693.3</v>
      </c>
      <c r="F47" s="35" t="s">
        <v>26</v>
      </c>
      <c r="G47" s="37">
        <v>25790.649000000001</v>
      </c>
      <c r="H47" s="38">
        <v>2.6517745815991399E-3</v>
      </c>
      <c r="I47" s="39">
        <v>2.7147000000000001</v>
      </c>
      <c r="J47" s="39">
        <v>8.6470000000000002</v>
      </c>
      <c r="K47" s="13">
        <v>0</v>
      </c>
      <c r="L47" s="13">
        <v>0</v>
      </c>
      <c r="M47" s="13">
        <v>0</v>
      </c>
      <c r="N47" s="13">
        <v>0</v>
      </c>
      <c r="O47" s="13">
        <v>1</v>
      </c>
      <c r="P47" s="13">
        <v>0</v>
      </c>
      <c r="Q47" s="13">
        <v>0</v>
      </c>
      <c r="R47" s="13">
        <v>1</v>
      </c>
      <c r="S47" s="13">
        <v>0</v>
      </c>
    </row>
    <row r="48" spans="1:19" ht="15" customHeight="1" x14ac:dyDescent="0.35">
      <c r="A48" s="40" t="s">
        <v>78</v>
      </c>
      <c r="B48" s="41">
        <v>2019</v>
      </c>
      <c r="C48" s="42">
        <v>15.77</v>
      </c>
      <c r="D48" s="41" t="s">
        <v>71</v>
      </c>
      <c r="E48" s="43">
        <v>5577.45</v>
      </c>
      <c r="F48" s="41" t="s">
        <v>26</v>
      </c>
      <c r="G48" s="43">
        <v>26386.915949999999</v>
      </c>
      <c r="H48" s="44">
        <v>2.8269501384793299E-3</v>
      </c>
      <c r="I48" s="45">
        <v>2.7581000000000002</v>
      </c>
      <c r="J48" s="45">
        <v>8.6265000000000001</v>
      </c>
      <c r="K48" s="13">
        <v>0</v>
      </c>
      <c r="L48" s="13">
        <v>0</v>
      </c>
      <c r="M48" s="13">
        <v>0</v>
      </c>
      <c r="N48" s="13">
        <v>0</v>
      </c>
      <c r="O48" s="13">
        <v>1</v>
      </c>
      <c r="P48" s="13">
        <v>0</v>
      </c>
      <c r="Q48" s="13">
        <v>0</v>
      </c>
      <c r="R48" s="13">
        <v>1</v>
      </c>
      <c r="S48" s="13">
        <v>0</v>
      </c>
    </row>
    <row r="49" spans="1:19" ht="15" customHeight="1" x14ac:dyDescent="0.35">
      <c r="A49" s="34" t="s">
        <v>78</v>
      </c>
      <c r="B49" s="35">
        <v>2020</v>
      </c>
      <c r="C49" s="36">
        <v>15.3</v>
      </c>
      <c r="D49" s="35" t="s">
        <v>71</v>
      </c>
      <c r="E49" s="37">
        <v>5022.8900000000003</v>
      </c>
      <c r="F49" s="35" t="s">
        <v>26</v>
      </c>
      <c r="G49" s="37">
        <v>23055.0651</v>
      </c>
      <c r="H49" s="38">
        <v>3.0454488454166001E-3</v>
      </c>
      <c r="I49" s="39">
        <v>2.7279</v>
      </c>
      <c r="J49" s="39">
        <v>8.5218000000000007</v>
      </c>
      <c r="K49" s="13">
        <v>0</v>
      </c>
      <c r="L49" s="13">
        <v>0</v>
      </c>
      <c r="M49" s="13">
        <v>0</v>
      </c>
      <c r="N49" s="13">
        <v>0</v>
      </c>
      <c r="O49" s="13">
        <v>1</v>
      </c>
      <c r="P49" s="13">
        <v>0</v>
      </c>
      <c r="Q49" s="13">
        <v>0</v>
      </c>
      <c r="R49" s="13">
        <v>1</v>
      </c>
      <c r="S49" s="13">
        <v>0</v>
      </c>
    </row>
    <row r="50" spans="1:19" ht="15" customHeight="1" x14ac:dyDescent="0.35">
      <c r="A50" s="40" t="s">
        <v>78</v>
      </c>
      <c r="B50" s="41">
        <v>2021</v>
      </c>
      <c r="C50" s="42">
        <v>17.940000000000001</v>
      </c>
      <c r="D50" s="41" t="s">
        <v>71</v>
      </c>
      <c r="E50" s="43">
        <v>5563.7</v>
      </c>
      <c r="F50" s="41" t="s">
        <v>26</v>
      </c>
      <c r="G50" s="43">
        <v>29943.8334</v>
      </c>
      <c r="H50" s="44">
        <v>3.2238934713461698E-3</v>
      </c>
      <c r="I50" s="45">
        <v>2.887</v>
      </c>
      <c r="J50" s="45">
        <v>8.6240000000000006</v>
      </c>
      <c r="K50" s="13">
        <v>0</v>
      </c>
      <c r="L50" s="13">
        <v>0</v>
      </c>
      <c r="M50" s="13">
        <v>0</v>
      </c>
      <c r="N50" s="13">
        <v>0</v>
      </c>
      <c r="O50" s="13">
        <v>1</v>
      </c>
      <c r="P50" s="13">
        <v>0</v>
      </c>
      <c r="Q50" s="13">
        <v>0</v>
      </c>
      <c r="R50" s="13">
        <v>1</v>
      </c>
      <c r="S50" s="13">
        <v>0</v>
      </c>
    </row>
    <row r="51" spans="1:19" ht="15" customHeight="1" x14ac:dyDescent="0.35">
      <c r="A51" s="34" t="s">
        <v>78</v>
      </c>
      <c r="B51" s="35">
        <v>2022</v>
      </c>
      <c r="C51" s="36">
        <v>30.82</v>
      </c>
      <c r="D51" s="35" t="s">
        <v>71</v>
      </c>
      <c r="E51" s="37">
        <v>5638.18</v>
      </c>
      <c r="F51" s="35" t="s">
        <v>26</v>
      </c>
      <c r="G51" s="37">
        <v>52130.612280000001</v>
      </c>
      <c r="H51" s="38">
        <v>5.4653336123337099E-3</v>
      </c>
      <c r="I51" s="39">
        <v>3.4281999999999999</v>
      </c>
      <c r="J51" s="39">
        <v>8.6372999999999998</v>
      </c>
      <c r="K51" s="13">
        <v>0</v>
      </c>
      <c r="L51" s="13">
        <v>0</v>
      </c>
      <c r="M51" s="13">
        <v>0</v>
      </c>
      <c r="N51" s="13">
        <v>0</v>
      </c>
      <c r="O51" s="13">
        <v>1</v>
      </c>
      <c r="P51" s="13">
        <v>0</v>
      </c>
      <c r="Q51" s="13">
        <v>0</v>
      </c>
      <c r="R51" s="13">
        <v>1</v>
      </c>
      <c r="S51" s="13">
        <v>0</v>
      </c>
    </row>
    <row r="52" spans="1:19" ht="15" customHeight="1" x14ac:dyDescent="0.35">
      <c r="A52" s="40" t="s">
        <v>78</v>
      </c>
      <c r="B52" s="41">
        <v>2023</v>
      </c>
      <c r="C52" s="42">
        <v>29.84</v>
      </c>
      <c r="D52" s="41" t="s">
        <v>71</v>
      </c>
      <c r="E52" s="43">
        <v>5434.18</v>
      </c>
      <c r="F52" s="41" t="s">
        <v>26</v>
      </c>
      <c r="G52" s="43">
        <v>48646.77936</v>
      </c>
      <c r="H52" s="44">
        <v>5.4901585596061203E-3</v>
      </c>
      <c r="I52" s="45">
        <v>3.3957999999999999</v>
      </c>
      <c r="J52" s="45">
        <v>8.6005000000000003</v>
      </c>
      <c r="K52" s="13">
        <v>0</v>
      </c>
      <c r="L52" s="13">
        <v>0</v>
      </c>
      <c r="M52" s="13">
        <v>0</v>
      </c>
      <c r="N52" s="13">
        <v>0</v>
      </c>
      <c r="O52" s="13">
        <v>1</v>
      </c>
      <c r="P52" s="13">
        <v>0</v>
      </c>
      <c r="Q52" s="13">
        <v>0</v>
      </c>
      <c r="R52" s="13">
        <v>1</v>
      </c>
      <c r="S52" s="13">
        <v>0</v>
      </c>
    </row>
    <row r="53" spans="1:19" ht="15" customHeight="1" x14ac:dyDescent="0.35">
      <c r="A53" s="34" t="s">
        <v>79</v>
      </c>
      <c r="B53" s="35">
        <v>2019</v>
      </c>
      <c r="C53" s="36">
        <v>15</v>
      </c>
      <c r="D53" s="35" t="s">
        <v>72</v>
      </c>
      <c r="E53" s="37">
        <v>915.12</v>
      </c>
      <c r="F53" s="35" t="s">
        <v>26</v>
      </c>
      <c r="G53" s="37">
        <v>4118.04</v>
      </c>
      <c r="H53" s="38">
        <v>1.6373400864515601E-2</v>
      </c>
      <c r="I53" s="39">
        <v>2.7081</v>
      </c>
      <c r="J53" s="39">
        <v>6.8190999999999997</v>
      </c>
      <c r="K53" s="13">
        <v>0</v>
      </c>
      <c r="L53" s="13">
        <v>0</v>
      </c>
      <c r="M53" s="13">
        <v>0</v>
      </c>
      <c r="N53" s="13">
        <v>0</v>
      </c>
      <c r="O53" s="13">
        <v>1</v>
      </c>
      <c r="P53" s="13">
        <v>0</v>
      </c>
      <c r="Q53" s="13">
        <v>1</v>
      </c>
      <c r="R53" s="13">
        <v>0</v>
      </c>
      <c r="S53" s="13">
        <v>1</v>
      </c>
    </row>
    <row r="54" spans="1:19" ht="15" customHeight="1" x14ac:dyDescent="0.35">
      <c r="A54" s="40" t="s">
        <v>79</v>
      </c>
      <c r="B54" s="41">
        <v>2020</v>
      </c>
      <c r="C54" s="42">
        <v>21.1</v>
      </c>
      <c r="D54" s="41" t="s">
        <v>72</v>
      </c>
      <c r="E54" s="43">
        <v>853.61</v>
      </c>
      <c r="F54" s="41" t="s">
        <v>26</v>
      </c>
      <c r="G54" s="43">
        <v>5403.3513000000003</v>
      </c>
      <c r="H54" s="44">
        <v>2.46896245070851E-2</v>
      </c>
      <c r="I54" s="45">
        <v>3.0493000000000001</v>
      </c>
      <c r="J54" s="45">
        <v>6.7495000000000003</v>
      </c>
      <c r="K54" s="13">
        <v>0</v>
      </c>
      <c r="L54" s="13">
        <v>0</v>
      </c>
      <c r="M54" s="13">
        <v>0</v>
      </c>
      <c r="N54" s="13">
        <v>0</v>
      </c>
      <c r="O54" s="13">
        <v>1</v>
      </c>
      <c r="P54" s="13">
        <v>0</v>
      </c>
      <c r="Q54" s="13">
        <v>1</v>
      </c>
      <c r="R54" s="13">
        <v>0</v>
      </c>
      <c r="S54" s="13">
        <v>0</v>
      </c>
    </row>
    <row r="55" spans="1:19" ht="15" customHeight="1" x14ac:dyDescent="0.35">
      <c r="A55" s="34" t="s">
        <v>79</v>
      </c>
      <c r="B55" s="35">
        <v>2021</v>
      </c>
      <c r="C55" s="36">
        <v>31.83</v>
      </c>
      <c r="D55" s="35" t="s">
        <v>72</v>
      </c>
      <c r="E55" s="37">
        <v>844.41</v>
      </c>
      <c r="F55" s="35" t="s">
        <v>26</v>
      </c>
      <c r="G55" s="37">
        <v>8063.2710900000002</v>
      </c>
      <c r="H55" s="38">
        <v>3.76503708259898E-2</v>
      </c>
      <c r="I55" s="39">
        <v>3.4603999999999999</v>
      </c>
      <c r="J55" s="39">
        <v>6.7385999999999999</v>
      </c>
      <c r="K55" s="13">
        <v>0</v>
      </c>
      <c r="L55" s="13">
        <v>0</v>
      </c>
      <c r="M55" s="13">
        <v>0</v>
      </c>
      <c r="N55" s="13">
        <v>0</v>
      </c>
      <c r="O55" s="13">
        <v>1</v>
      </c>
      <c r="P55" s="13">
        <v>0</v>
      </c>
      <c r="Q55" s="13">
        <v>1</v>
      </c>
      <c r="R55" s="13">
        <v>0</v>
      </c>
      <c r="S55" s="13">
        <v>0</v>
      </c>
    </row>
    <row r="56" spans="1:19" ht="15" customHeight="1" x14ac:dyDescent="0.35">
      <c r="A56" s="40" t="s">
        <v>79</v>
      </c>
      <c r="B56" s="41">
        <v>2021</v>
      </c>
      <c r="C56" s="42">
        <v>31.83</v>
      </c>
      <c r="D56" s="41" t="s">
        <v>71</v>
      </c>
      <c r="E56" s="43">
        <v>844.41</v>
      </c>
      <c r="F56" s="41" t="s">
        <v>26</v>
      </c>
      <c r="G56" s="43">
        <v>8063.2710900000002</v>
      </c>
      <c r="H56" s="44">
        <v>3.76503708259898E-2</v>
      </c>
      <c r="I56" s="45">
        <v>3.4603999999999999</v>
      </c>
      <c r="J56" s="45">
        <v>6.7385999999999999</v>
      </c>
      <c r="K56" s="13">
        <v>0</v>
      </c>
      <c r="L56" s="13">
        <v>0</v>
      </c>
      <c r="M56" s="13">
        <v>0</v>
      </c>
      <c r="N56" s="13">
        <v>0</v>
      </c>
      <c r="O56" s="13">
        <v>1</v>
      </c>
      <c r="P56" s="13">
        <v>0</v>
      </c>
      <c r="Q56" s="13">
        <v>0</v>
      </c>
      <c r="R56" s="13">
        <v>1</v>
      </c>
      <c r="S56" s="13">
        <v>0</v>
      </c>
    </row>
    <row r="57" spans="1:19" ht="15" customHeight="1" x14ac:dyDescent="0.35">
      <c r="A57" s="34" t="s">
        <v>79</v>
      </c>
      <c r="B57" s="35">
        <v>2022</v>
      </c>
      <c r="C57" s="36">
        <v>39.96</v>
      </c>
      <c r="D57" s="35" t="s">
        <v>72</v>
      </c>
      <c r="E57" s="37">
        <v>857.27</v>
      </c>
      <c r="F57" s="35" t="s">
        <v>26</v>
      </c>
      <c r="G57" s="37">
        <v>10276.95276</v>
      </c>
      <c r="H57" s="38">
        <v>4.6558775210598098E-2</v>
      </c>
      <c r="I57" s="39">
        <v>3.6879</v>
      </c>
      <c r="J57" s="39">
        <v>6.7538</v>
      </c>
      <c r="K57" s="13">
        <v>0</v>
      </c>
      <c r="L57" s="13">
        <v>0</v>
      </c>
      <c r="M57" s="13">
        <v>0</v>
      </c>
      <c r="N57" s="13">
        <v>0</v>
      </c>
      <c r="O57" s="13">
        <v>1</v>
      </c>
      <c r="P57" s="13">
        <v>0</v>
      </c>
      <c r="Q57" s="13">
        <v>1</v>
      </c>
      <c r="R57" s="13">
        <v>0</v>
      </c>
      <c r="S57" s="13">
        <v>0</v>
      </c>
    </row>
    <row r="58" spans="1:19" ht="15" customHeight="1" x14ac:dyDescent="0.35">
      <c r="A58" s="40" t="s">
        <v>79</v>
      </c>
      <c r="B58" s="41">
        <v>2022</v>
      </c>
      <c r="C58" s="42">
        <v>39.96</v>
      </c>
      <c r="D58" s="41" t="s">
        <v>71</v>
      </c>
      <c r="E58" s="43">
        <v>857.27</v>
      </c>
      <c r="F58" s="41" t="s">
        <v>26</v>
      </c>
      <c r="G58" s="43">
        <v>10276.95276</v>
      </c>
      <c r="H58" s="44">
        <v>4.6558775210598098E-2</v>
      </c>
      <c r="I58" s="45">
        <v>3.6879</v>
      </c>
      <c r="J58" s="45">
        <v>6.7538</v>
      </c>
      <c r="K58" s="13">
        <v>0</v>
      </c>
      <c r="L58" s="13">
        <v>0</v>
      </c>
      <c r="M58" s="13">
        <v>0</v>
      </c>
      <c r="N58" s="13">
        <v>0</v>
      </c>
      <c r="O58" s="13">
        <v>1</v>
      </c>
      <c r="P58" s="13">
        <v>0</v>
      </c>
      <c r="Q58" s="13">
        <v>0</v>
      </c>
      <c r="R58" s="13">
        <v>1</v>
      </c>
      <c r="S58" s="13">
        <v>0</v>
      </c>
    </row>
    <row r="59" spans="1:19" ht="15" customHeight="1" x14ac:dyDescent="0.35">
      <c r="A59" s="34" t="s">
        <v>79</v>
      </c>
      <c r="B59" s="35">
        <v>2023</v>
      </c>
      <c r="C59" s="36">
        <v>48.03</v>
      </c>
      <c r="D59" s="35" t="s">
        <v>72</v>
      </c>
      <c r="E59" s="37">
        <v>875.95</v>
      </c>
      <c r="F59" s="35" t="s">
        <v>26</v>
      </c>
      <c r="G59" s="37">
        <v>12621.563550000001</v>
      </c>
      <c r="H59" s="38">
        <v>5.4769371115799097E-2</v>
      </c>
      <c r="I59" s="39">
        <v>3.8717999999999999</v>
      </c>
      <c r="J59" s="39">
        <v>6.7752999999999997</v>
      </c>
      <c r="K59" s="13">
        <v>0</v>
      </c>
      <c r="L59" s="13">
        <v>0</v>
      </c>
      <c r="M59" s="13">
        <v>0</v>
      </c>
      <c r="N59" s="13">
        <v>0</v>
      </c>
      <c r="O59" s="13">
        <v>1</v>
      </c>
      <c r="P59" s="13">
        <v>0</v>
      </c>
      <c r="Q59" s="13">
        <v>1</v>
      </c>
      <c r="R59" s="13">
        <v>0</v>
      </c>
      <c r="S59" s="13">
        <v>0</v>
      </c>
    </row>
    <row r="60" spans="1:19" ht="15" customHeight="1" x14ac:dyDescent="0.35">
      <c r="A60" s="40" t="s">
        <v>79</v>
      </c>
      <c r="B60" s="41">
        <v>2023</v>
      </c>
      <c r="C60" s="42">
        <v>48.03</v>
      </c>
      <c r="D60" s="41" t="s">
        <v>71</v>
      </c>
      <c r="E60" s="43">
        <v>875.95</v>
      </c>
      <c r="F60" s="41" t="s">
        <v>26</v>
      </c>
      <c r="G60" s="43">
        <v>12621.563550000001</v>
      </c>
      <c r="H60" s="44">
        <v>5.4769371115799097E-2</v>
      </c>
      <c r="I60" s="45">
        <v>3.8717999999999999</v>
      </c>
      <c r="J60" s="45">
        <v>6.7752999999999997</v>
      </c>
      <c r="K60" s="13">
        <v>0</v>
      </c>
      <c r="L60" s="13">
        <v>0</v>
      </c>
      <c r="M60" s="13">
        <v>0</v>
      </c>
      <c r="N60" s="13">
        <v>0</v>
      </c>
      <c r="O60" s="13">
        <v>1</v>
      </c>
      <c r="P60" s="13">
        <v>0</v>
      </c>
      <c r="Q60" s="13">
        <v>0</v>
      </c>
      <c r="R60" s="13">
        <v>1</v>
      </c>
      <c r="S60" s="13">
        <v>0</v>
      </c>
    </row>
    <row r="61" spans="1:19" ht="15" customHeight="1" x14ac:dyDescent="0.35">
      <c r="A61" s="34" t="s">
        <v>80</v>
      </c>
      <c r="B61" s="35">
        <v>2017</v>
      </c>
      <c r="C61" s="36">
        <v>5</v>
      </c>
      <c r="D61" s="35" t="s">
        <v>72</v>
      </c>
      <c r="E61" s="37">
        <v>113.8</v>
      </c>
      <c r="F61" s="35" t="s">
        <v>24</v>
      </c>
      <c r="G61" s="37">
        <v>170.7</v>
      </c>
      <c r="H61" s="38">
        <v>4.3554006968641097E-2</v>
      </c>
      <c r="I61" s="39">
        <v>1.6093999999999999</v>
      </c>
      <c r="J61" s="39">
        <v>4.7343999999999999</v>
      </c>
      <c r="K61" s="13">
        <v>0</v>
      </c>
      <c r="L61" s="13">
        <v>0</v>
      </c>
      <c r="M61" s="13">
        <v>0</v>
      </c>
      <c r="N61" s="13">
        <v>1</v>
      </c>
      <c r="O61" s="13">
        <v>0</v>
      </c>
      <c r="P61" s="13">
        <v>0</v>
      </c>
      <c r="Q61" s="13">
        <v>1</v>
      </c>
      <c r="R61" s="13">
        <v>0</v>
      </c>
      <c r="S61" s="13">
        <v>1</v>
      </c>
    </row>
    <row r="62" spans="1:19" ht="15" customHeight="1" x14ac:dyDescent="0.35">
      <c r="A62" s="40" t="s">
        <v>80</v>
      </c>
      <c r="B62" s="41">
        <v>2018</v>
      </c>
      <c r="C62" s="42">
        <v>5</v>
      </c>
      <c r="D62" s="41" t="s">
        <v>72</v>
      </c>
      <c r="E62" s="43">
        <v>112.77</v>
      </c>
      <c r="F62" s="41" t="s">
        <v>24</v>
      </c>
      <c r="G62" s="43">
        <v>169.155</v>
      </c>
      <c r="H62" s="44">
        <v>4.3948316779467402E-2</v>
      </c>
      <c r="I62" s="45">
        <v>1.6093999999999999</v>
      </c>
      <c r="J62" s="45">
        <v>4.7253999999999996</v>
      </c>
      <c r="K62" s="13">
        <v>0</v>
      </c>
      <c r="L62" s="13">
        <v>0</v>
      </c>
      <c r="M62" s="13">
        <v>0</v>
      </c>
      <c r="N62" s="13">
        <v>1</v>
      </c>
      <c r="O62" s="13">
        <v>0</v>
      </c>
      <c r="P62" s="13">
        <v>0</v>
      </c>
      <c r="Q62" s="13">
        <v>1</v>
      </c>
      <c r="R62" s="13">
        <v>0</v>
      </c>
      <c r="S62" s="13">
        <v>0</v>
      </c>
    </row>
    <row r="63" spans="1:19" ht="15" customHeight="1" x14ac:dyDescent="0.35">
      <c r="A63" s="34" t="s">
        <v>80</v>
      </c>
      <c r="B63" s="35">
        <v>2019</v>
      </c>
      <c r="C63" s="36">
        <v>5</v>
      </c>
      <c r="D63" s="35" t="s">
        <v>72</v>
      </c>
      <c r="E63" s="37">
        <v>118.85</v>
      </c>
      <c r="F63" s="35" t="s">
        <v>24</v>
      </c>
      <c r="G63" s="37">
        <v>178.27500000000001</v>
      </c>
      <c r="H63" s="38">
        <v>4.1718815185648697E-2</v>
      </c>
      <c r="I63" s="39">
        <v>1.6093999999999999</v>
      </c>
      <c r="J63" s="39">
        <v>4.7778999999999998</v>
      </c>
      <c r="K63" s="13">
        <v>0</v>
      </c>
      <c r="L63" s="13">
        <v>0</v>
      </c>
      <c r="M63" s="13">
        <v>0</v>
      </c>
      <c r="N63" s="13">
        <v>1</v>
      </c>
      <c r="O63" s="13">
        <v>0</v>
      </c>
      <c r="P63" s="13">
        <v>0</v>
      </c>
      <c r="Q63" s="13">
        <v>1</v>
      </c>
      <c r="R63" s="13">
        <v>0</v>
      </c>
      <c r="S63" s="13">
        <v>0</v>
      </c>
    </row>
    <row r="64" spans="1:19" ht="15" customHeight="1" x14ac:dyDescent="0.35">
      <c r="A64" s="40" t="s">
        <v>80</v>
      </c>
      <c r="B64" s="41">
        <v>2020</v>
      </c>
      <c r="C64" s="42">
        <v>5</v>
      </c>
      <c r="D64" s="41" t="s">
        <v>72</v>
      </c>
      <c r="E64" s="43">
        <v>112.19</v>
      </c>
      <c r="F64" s="41" t="s">
        <v>24</v>
      </c>
      <c r="G64" s="43">
        <v>168.285</v>
      </c>
      <c r="H64" s="44">
        <v>4.4173513561268703E-2</v>
      </c>
      <c r="I64" s="45">
        <v>1.6093999999999999</v>
      </c>
      <c r="J64" s="45">
        <v>4.7202000000000002</v>
      </c>
      <c r="K64" s="13">
        <v>0</v>
      </c>
      <c r="L64" s="13">
        <v>0</v>
      </c>
      <c r="M64" s="13">
        <v>0</v>
      </c>
      <c r="N64" s="13">
        <v>1</v>
      </c>
      <c r="O64" s="13">
        <v>0</v>
      </c>
      <c r="P64" s="13">
        <v>0</v>
      </c>
      <c r="Q64" s="13">
        <v>1</v>
      </c>
      <c r="R64" s="13">
        <v>0</v>
      </c>
      <c r="S64" s="13">
        <v>0</v>
      </c>
    </row>
    <row r="65" spans="1:19" ht="15" customHeight="1" x14ac:dyDescent="0.35">
      <c r="A65" s="34" t="s">
        <v>80</v>
      </c>
      <c r="B65" s="35">
        <v>2021</v>
      </c>
      <c r="C65" s="36">
        <v>5</v>
      </c>
      <c r="D65" s="35" t="s">
        <v>72</v>
      </c>
      <c r="E65" s="37">
        <v>111.84</v>
      </c>
      <c r="F65" s="35" t="s">
        <v>24</v>
      </c>
      <c r="G65" s="37">
        <v>167.76</v>
      </c>
      <c r="H65" s="38">
        <v>4.4310528181495903E-2</v>
      </c>
      <c r="I65" s="39">
        <v>1.6093999999999999</v>
      </c>
      <c r="J65" s="39">
        <v>4.7171000000000003</v>
      </c>
      <c r="K65" s="13">
        <v>0</v>
      </c>
      <c r="L65" s="13">
        <v>0</v>
      </c>
      <c r="M65" s="13">
        <v>0</v>
      </c>
      <c r="N65" s="13">
        <v>1</v>
      </c>
      <c r="O65" s="13">
        <v>0</v>
      </c>
      <c r="P65" s="13">
        <v>0</v>
      </c>
      <c r="Q65" s="13">
        <v>1</v>
      </c>
      <c r="R65" s="13">
        <v>0</v>
      </c>
      <c r="S65" s="13">
        <v>0</v>
      </c>
    </row>
    <row r="66" spans="1:19" ht="15" customHeight="1" x14ac:dyDescent="0.35">
      <c r="A66" s="40" t="s">
        <v>80</v>
      </c>
      <c r="B66" s="41">
        <v>2022</v>
      </c>
      <c r="C66" s="42">
        <v>5</v>
      </c>
      <c r="D66" s="41" t="s">
        <v>72</v>
      </c>
      <c r="E66" s="43">
        <v>110.98</v>
      </c>
      <c r="F66" s="41" t="s">
        <v>24</v>
      </c>
      <c r="G66" s="43">
        <v>166.47</v>
      </c>
      <c r="H66" s="44">
        <v>4.4650830505447402E-2</v>
      </c>
      <c r="I66" s="45">
        <v>1.6093999999999999</v>
      </c>
      <c r="J66" s="45">
        <v>4.7093999999999996</v>
      </c>
      <c r="K66" s="13">
        <v>0</v>
      </c>
      <c r="L66" s="13">
        <v>0</v>
      </c>
      <c r="M66" s="13">
        <v>0</v>
      </c>
      <c r="N66" s="13">
        <v>1</v>
      </c>
      <c r="O66" s="13">
        <v>0</v>
      </c>
      <c r="P66" s="13">
        <v>0</v>
      </c>
      <c r="Q66" s="13">
        <v>1</v>
      </c>
      <c r="R66" s="13">
        <v>0</v>
      </c>
      <c r="S66" s="13">
        <v>0</v>
      </c>
    </row>
    <row r="67" spans="1:19" ht="15" customHeight="1" x14ac:dyDescent="0.35">
      <c r="A67" s="34" t="s">
        <v>80</v>
      </c>
      <c r="B67" s="35">
        <v>2023</v>
      </c>
      <c r="C67" s="36">
        <v>5</v>
      </c>
      <c r="D67" s="35" t="s">
        <v>72</v>
      </c>
      <c r="E67" s="37">
        <v>102.71</v>
      </c>
      <c r="F67" s="35" t="s">
        <v>24</v>
      </c>
      <c r="G67" s="37">
        <v>154.065</v>
      </c>
      <c r="H67" s="38">
        <v>4.8211358596085198E-2</v>
      </c>
      <c r="I67" s="39">
        <v>1.6093999999999999</v>
      </c>
      <c r="J67" s="39">
        <v>4.6318999999999999</v>
      </c>
      <c r="K67" s="13">
        <v>0</v>
      </c>
      <c r="L67" s="13">
        <v>0</v>
      </c>
      <c r="M67" s="13">
        <v>0</v>
      </c>
      <c r="N67" s="13">
        <v>1</v>
      </c>
      <c r="O67" s="13">
        <v>0</v>
      </c>
      <c r="P67" s="13">
        <v>0</v>
      </c>
      <c r="Q67" s="13">
        <v>1</v>
      </c>
      <c r="R67" s="13">
        <v>0</v>
      </c>
      <c r="S67" s="13">
        <v>0</v>
      </c>
    </row>
    <row r="68" spans="1:19" ht="15" customHeight="1" x14ac:dyDescent="0.35">
      <c r="A68" s="40" t="s">
        <v>81</v>
      </c>
      <c r="B68" s="41">
        <v>2022</v>
      </c>
      <c r="C68" s="42">
        <v>9.1999999999999993</v>
      </c>
      <c r="D68" s="41" t="s">
        <v>71</v>
      </c>
      <c r="E68" s="43">
        <v>12651.27</v>
      </c>
      <c r="F68" s="41" t="s">
        <v>20</v>
      </c>
      <c r="G68" s="43">
        <v>34917.5052</v>
      </c>
      <c r="H68" s="44">
        <v>7.2714224404000203E-4</v>
      </c>
      <c r="I68" s="45">
        <v>2.2191999999999998</v>
      </c>
      <c r="J68" s="45">
        <v>9.4454999999999991</v>
      </c>
      <c r="K68" s="13">
        <v>0</v>
      </c>
      <c r="L68" s="13">
        <v>1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1</v>
      </c>
      <c r="S68" s="13">
        <v>1</v>
      </c>
    </row>
    <row r="69" spans="1:19" ht="15" customHeight="1" x14ac:dyDescent="0.35">
      <c r="A69" s="34" t="s">
        <v>81</v>
      </c>
      <c r="B69" s="35">
        <v>2023</v>
      </c>
      <c r="C69" s="36">
        <v>8.15</v>
      </c>
      <c r="D69" s="35" t="s">
        <v>71</v>
      </c>
      <c r="E69" s="37">
        <v>13152.05</v>
      </c>
      <c r="F69" s="35" t="s">
        <v>20</v>
      </c>
      <c r="G69" s="37">
        <v>32156.76225</v>
      </c>
      <c r="H69" s="38">
        <v>6.1962814708375598E-4</v>
      </c>
      <c r="I69" s="39">
        <v>2.0979999999999999</v>
      </c>
      <c r="J69" s="39">
        <v>9.4842999999999993</v>
      </c>
      <c r="K69" s="13">
        <v>0</v>
      </c>
      <c r="L69" s="13">
        <v>1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1</v>
      </c>
      <c r="S69" s="13">
        <v>0</v>
      </c>
    </row>
    <row r="70" spans="1:19" ht="15" customHeight="1" x14ac:dyDescent="0.35">
      <c r="A70" s="40" t="s">
        <v>82</v>
      </c>
      <c r="B70" s="41">
        <v>2015</v>
      </c>
      <c r="C70" s="42">
        <v>3.9</v>
      </c>
      <c r="D70" s="41" t="s">
        <v>71</v>
      </c>
      <c r="E70" s="43">
        <v>11103.35</v>
      </c>
      <c r="F70" s="41" t="s">
        <v>20</v>
      </c>
      <c r="G70" s="43">
        <v>12990.9195</v>
      </c>
      <c r="H70" s="44">
        <v>3.5121371354469199E-4</v>
      </c>
      <c r="I70" s="45">
        <v>1.361</v>
      </c>
      <c r="J70" s="45">
        <v>9.3149999999999995</v>
      </c>
      <c r="K70" s="13">
        <v>0</v>
      </c>
      <c r="L70" s="13">
        <v>1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  <c r="R70" s="13">
        <v>1</v>
      </c>
      <c r="S70" s="13">
        <v>1</v>
      </c>
    </row>
    <row r="71" spans="1:19" ht="15" customHeight="1" x14ac:dyDescent="0.35">
      <c r="A71" s="34" t="s">
        <v>82</v>
      </c>
      <c r="B71" s="35">
        <v>2016</v>
      </c>
      <c r="C71" s="36">
        <v>1.2</v>
      </c>
      <c r="D71" s="35" t="s">
        <v>71</v>
      </c>
      <c r="E71" s="37">
        <v>10955.02</v>
      </c>
      <c r="F71" s="35" t="s">
        <v>20</v>
      </c>
      <c r="G71" s="37">
        <v>3943.8072000000002</v>
      </c>
      <c r="H71" s="38">
        <v>1.09528825248585E-4</v>
      </c>
      <c r="I71" s="39">
        <v>0.18229999999999999</v>
      </c>
      <c r="J71" s="39">
        <v>9.3016000000000005</v>
      </c>
      <c r="K71" s="13">
        <v>0</v>
      </c>
      <c r="L71" s="13">
        <v>1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13">
        <v>1</v>
      </c>
      <c r="S71" s="13">
        <v>0</v>
      </c>
    </row>
    <row r="72" spans="1:19" ht="15" customHeight="1" x14ac:dyDescent="0.35">
      <c r="A72" s="40" t="s">
        <v>82</v>
      </c>
      <c r="B72" s="41">
        <v>2017</v>
      </c>
      <c r="C72" s="42">
        <v>0.22</v>
      </c>
      <c r="D72" s="41" t="s">
        <v>71</v>
      </c>
      <c r="E72" s="43">
        <v>11189.72</v>
      </c>
      <c r="F72" s="41" t="s">
        <v>20</v>
      </c>
      <c r="G72" s="43">
        <v>738.52152000000001</v>
      </c>
      <c r="H72" s="44">
        <v>1.9659146149666899E-5</v>
      </c>
      <c r="I72" s="45">
        <v>-1.5141</v>
      </c>
      <c r="J72" s="45">
        <v>9.3228000000000009</v>
      </c>
      <c r="K72" s="13">
        <v>0</v>
      </c>
      <c r="L72" s="13">
        <v>1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13">
        <v>1</v>
      </c>
      <c r="S72" s="13">
        <v>0</v>
      </c>
    </row>
    <row r="73" spans="1:19" ht="15" customHeight="1" x14ac:dyDescent="0.35">
      <c r="A73" s="34" t="s">
        <v>82</v>
      </c>
      <c r="B73" s="35">
        <v>2018</v>
      </c>
      <c r="C73" s="36">
        <v>3.82</v>
      </c>
      <c r="D73" s="35" t="s">
        <v>71</v>
      </c>
      <c r="E73" s="37">
        <v>11662.12</v>
      </c>
      <c r="F73" s="35" t="s">
        <v>20</v>
      </c>
      <c r="G73" s="37">
        <v>13364.78952</v>
      </c>
      <c r="H73" s="38">
        <v>3.27528139983126E-4</v>
      </c>
      <c r="I73" s="39">
        <v>1.3403</v>
      </c>
      <c r="J73" s="39">
        <v>9.3641000000000005</v>
      </c>
      <c r="K73" s="13">
        <v>0</v>
      </c>
      <c r="L73" s="13">
        <v>1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13">
        <v>1</v>
      </c>
      <c r="S73" s="13">
        <v>0</v>
      </c>
    </row>
    <row r="74" spans="1:19" ht="15" customHeight="1" x14ac:dyDescent="0.35">
      <c r="A74" s="40" t="s">
        <v>82</v>
      </c>
      <c r="B74" s="41">
        <v>2019</v>
      </c>
      <c r="C74" s="42">
        <v>0.55000000000000004</v>
      </c>
      <c r="D74" s="41" t="s">
        <v>71</v>
      </c>
      <c r="E74" s="43">
        <v>11915.69</v>
      </c>
      <c r="F74" s="41" t="s">
        <v>20</v>
      </c>
      <c r="G74" s="43">
        <v>1966.0888500000001</v>
      </c>
      <c r="H74" s="44">
        <v>4.6153755782855797E-5</v>
      </c>
      <c r="I74" s="45">
        <v>-0.5978</v>
      </c>
      <c r="J74" s="45">
        <v>9.3856000000000002</v>
      </c>
      <c r="K74" s="13">
        <v>0</v>
      </c>
      <c r="L74" s="13">
        <v>1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1</v>
      </c>
      <c r="S74" s="13">
        <v>0</v>
      </c>
    </row>
    <row r="75" spans="1:19" ht="15" customHeight="1" x14ac:dyDescent="0.35">
      <c r="A75" s="34" t="s">
        <v>82</v>
      </c>
      <c r="B75" s="35">
        <v>2020</v>
      </c>
      <c r="C75" s="36">
        <v>5.31</v>
      </c>
      <c r="D75" s="35" t="s">
        <v>71</v>
      </c>
      <c r="E75" s="37">
        <v>12084.55</v>
      </c>
      <c r="F75" s="35" t="s">
        <v>20</v>
      </c>
      <c r="G75" s="37">
        <v>19250.688150000002</v>
      </c>
      <c r="H75" s="38">
        <v>4.3936767461969E-4</v>
      </c>
      <c r="I75" s="39">
        <v>1.6696</v>
      </c>
      <c r="J75" s="39">
        <v>9.3996999999999993</v>
      </c>
      <c r="K75" s="13">
        <v>0</v>
      </c>
      <c r="L75" s="13">
        <v>1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13">
        <v>1</v>
      </c>
      <c r="S75" s="13">
        <v>0</v>
      </c>
    </row>
    <row r="76" spans="1:19" ht="15" customHeight="1" x14ac:dyDescent="0.35">
      <c r="A76" s="40" t="s">
        <v>82</v>
      </c>
      <c r="B76" s="41">
        <v>2021</v>
      </c>
      <c r="C76" s="42">
        <v>3.71</v>
      </c>
      <c r="D76" s="41" t="s">
        <v>71</v>
      </c>
      <c r="E76" s="43">
        <v>12665.78</v>
      </c>
      <c r="F76" s="41" t="s">
        <v>20</v>
      </c>
      <c r="G76" s="43">
        <v>14097.013139999999</v>
      </c>
      <c r="H76" s="44">
        <v>2.92892116228434E-4</v>
      </c>
      <c r="I76" s="45">
        <v>1.3109999999999999</v>
      </c>
      <c r="J76" s="45">
        <v>9.4466999999999999</v>
      </c>
      <c r="K76" s="13">
        <v>0</v>
      </c>
      <c r="L76" s="13">
        <v>1</v>
      </c>
      <c r="M76" s="13">
        <v>0</v>
      </c>
      <c r="N76" s="13">
        <v>0</v>
      </c>
      <c r="O76" s="13">
        <v>0</v>
      </c>
      <c r="P76" s="13">
        <v>0</v>
      </c>
      <c r="Q76" s="13">
        <v>0</v>
      </c>
      <c r="R76" s="13">
        <v>1</v>
      </c>
      <c r="S76" s="13">
        <v>0</v>
      </c>
    </row>
    <row r="77" spans="1:19" ht="15" customHeight="1" x14ac:dyDescent="0.35">
      <c r="A77" s="34" t="s">
        <v>82</v>
      </c>
      <c r="B77" s="35">
        <v>2022</v>
      </c>
      <c r="C77" s="36">
        <v>5.66</v>
      </c>
      <c r="D77" s="35" t="s">
        <v>71</v>
      </c>
      <c r="E77" s="37">
        <v>12651.27</v>
      </c>
      <c r="F77" s="35" t="s">
        <v>20</v>
      </c>
      <c r="G77" s="37">
        <v>21481.856459999999</v>
      </c>
      <c r="H77" s="38">
        <v>4.4735055448548E-4</v>
      </c>
      <c r="I77" s="39">
        <v>1.7334000000000001</v>
      </c>
      <c r="J77" s="39">
        <v>9.4454999999999991</v>
      </c>
      <c r="K77" s="13">
        <v>0</v>
      </c>
      <c r="L77" s="13">
        <v>1</v>
      </c>
      <c r="M77" s="13">
        <v>0</v>
      </c>
      <c r="N77" s="13">
        <v>0</v>
      </c>
      <c r="O77" s="13">
        <v>0</v>
      </c>
      <c r="P77" s="13">
        <v>0</v>
      </c>
      <c r="Q77" s="13">
        <v>0</v>
      </c>
      <c r="R77" s="13">
        <v>1</v>
      </c>
      <c r="S77" s="13">
        <v>0</v>
      </c>
    </row>
    <row r="78" spans="1:19" ht="15" customHeight="1" x14ac:dyDescent="0.35">
      <c r="A78" s="40" t="s">
        <v>82</v>
      </c>
      <c r="B78" s="41">
        <v>2023</v>
      </c>
      <c r="C78" s="42">
        <v>4.66</v>
      </c>
      <c r="D78" s="41" t="s">
        <v>71</v>
      </c>
      <c r="E78" s="43">
        <v>13152.05</v>
      </c>
      <c r="F78" s="41" t="s">
        <v>20</v>
      </c>
      <c r="G78" s="43">
        <v>18386.565900000001</v>
      </c>
      <c r="H78" s="44">
        <v>3.5429044974359599E-4</v>
      </c>
      <c r="I78" s="45">
        <v>1.5389999999999999</v>
      </c>
      <c r="J78" s="45">
        <v>9.4842999999999993</v>
      </c>
      <c r="K78" s="13">
        <v>0</v>
      </c>
      <c r="L78" s="13">
        <v>1</v>
      </c>
      <c r="M78" s="13">
        <v>0</v>
      </c>
      <c r="N78" s="13">
        <v>0</v>
      </c>
      <c r="O78" s="13">
        <v>0</v>
      </c>
      <c r="P78" s="13">
        <v>0</v>
      </c>
      <c r="Q78" s="13">
        <v>0</v>
      </c>
      <c r="R78" s="13">
        <v>1</v>
      </c>
      <c r="S78" s="13">
        <v>0</v>
      </c>
    </row>
    <row r="79" spans="1:19" ht="15" customHeight="1" x14ac:dyDescent="0.35">
      <c r="A79" s="34" t="s">
        <v>83</v>
      </c>
      <c r="B79" s="35">
        <v>2017</v>
      </c>
      <c r="C79" s="36">
        <v>5.21</v>
      </c>
      <c r="D79" s="35" t="s">
        <v>72</v>
      </c>
      <c r="E79" s="37">
        <v>285.26</v>
      </c>
      <c r="F79" s="35" t="s">
        <v>24</v>
      </c>
      <c r="G79" s="37">
        <v>445.86138</v>
      </c>
      <c r="H79" s="38">
        <v>1.82002375462866E-2</v>
      </c>
      <c r="I79" s="39">
        <v>1.6506000000000001</v>
      </c>
      <c r="J79" s="39">
        <v>5.6534000000000004</v>
      </c>
      <c r="K79" s="13">
        <v>0</v>
      </c>
      <c r="L79" s="13">
        <v>0</v>
      </c>
      <c r="M79" s="13">
        <v>0</v>
      </c>
      <c r="N79" s="13">
        <v>1</v>
      </c>
      <c r="O79" s="13">
        <v>0</v>
      </c>
      <c r="P79" s="13">
        <v>0</v>
      </c>
      <c r="Q79" s="13">
        <v>1</v>
      </c>
      <c r="R79" s="13">
        <v>0</v>
      </c>
      <c r="S79" s="13">
        <v>1</v>
      </c>
    </row>
    <row r="80" spans="1:19" ht="15" customHeight="1" x14ac:dyDescent="0.35">
      <c r="A80" s="40" t="s">
        <v>83</v>
      </c>
      <c r="B80" s="41">
        <v>2018</v>
      </c>
      <c r="C80" s="42">
        <v>5.67</v>
      </c>
      <c r="D80" s="41" t="s">
        <v>72</v>
      </c>
      <c r="E80" s="43">
        <v>293.89</v>
      </c>
      <c r="F80" s="41" t="s">
        <v>24</v>
      </c>
      <c r="G80" s="43">
        <v>499.90688999999998</v>
      </c>
      <c r="H80" s="44">
        <v>1.9227508562514799E-2</v>
      </c>
      <c r="I80" s="45">
        <v>1.7352000000000001</v>
      </c>
      <c r="J80" s="45">
        <v>5.6832000000000003</v>
      </c>
      <c r="K80" s="13">
        <v>0</v>
      </c>
      <c r="L80" s="13">
        <v>0</v>
      </c>
      <c r="M80" s="13">
        <v>0</v>
      </c>
      <c r="N80" s="13">
        <v>1</v>
      </c>
      <c r="O80" s="13">
        <v>0</v>
      </c>
      <c r="P80" s="13">
        <v>0</v>
      </c>
      <c r="Q80" s="13">
        <v>1</v>
      </c>
      <c r="R80" s="13">
        <v>0</v>
      </c>
      <c r="S80" s="13">
        <v>0</v>
      </c>
    </row>
    <row r="81" spans="1:19" ht="15" customHeight="1" x14ac:dyDescent="0.35">
      <c r="A81" s="34" t="s">
        <v>83</v>
      </c>
      <c r="B81" s="35">
        <v>2019</v>
      </c>
      <c r="C81" s="36">
        <v>5.17</v>
      </c>
      <c r="D81" s="35" t="s">
        <v>72</v>
      </c>
      <c r="E81" s="37">
        <v>296.25</v>
      </c>
      <c r="F81" s="35" t="s">
        <v>24</v>
      </c>
      <c r="G81" s="37">
        <v>459.48374999999999</v>
      </c>
      <c r="H81" s="38">
        <v>1.7392767031118601E-2</v>
      </c>
      <c r="I81" s="39">
        <v>1.6429</v>
      </c>
      <c r="J81" s="39">
        <v>5.6912000000000003</v>
      </c>
      <c r="K81" s="13">
        <v>0</v>
      </c>
      <c r="L81" s="13">
        <v>0</v>
      </c>
      <c r="M81" s="13">
        <v>0</v>
      </c>
      <c r="N81" s="13">
        <v>1</v>
      </c>
      <c r="O81" s="13">
        <v>0</v>
      </c>
      <c r="P81" s="13">
        <v>0</v>
      </c>
      <c r="Q81" s="13">
        <v>1</v>
      </c>
      <c r="R81" s="13">
        <v>0</v>
      </c>
      <c r="S81" s="13">
        <v>0</v>
      </c>
    </row>
    <row r="82" spans="1:19" ht="15" customHeight="1" x14ac:dyDescent="0.35">
      <c r="A82" s="40" t="s">
        <v>83</v>
      </c>
      <c r="B82" s="41">
        <v>2020</v>
      </c>
      <c r="C82" s="42">
        <v>4.24</v>
      </c>
      <c r="D82" s="41" t="s">
        <v>72</v>
      </c>
      <c r="E82" s="43">
        <v>288.5</v>
      </c>
      <c r="F82" s="41" t="s">
        <v>24</v>
      </c>
      <c r="G82" s="43">
        <v>366.97199999999998</v>
      </c>
      <c r="H82" s="44">
        <v>1.4645941278065599E-2</v>
      </c>
      <c r="I82" s="45">
        <v>1.4446000000000001</v>
      </c>
      <c r="J82" s="45">
        <v>5.6646999999999998</v>
      </c>
      <c r="K82" s="13">
        <v>0</v>
      </c>
      <c r="L82" s="13">
        <v>0</v>
      </c>
      <c r="M82" s="13">
        <v>0</v>
      </c>
      <c r="N82" s="13">
        <v>1</v>
      </c>
      <c r="O82" s="13">
        <v>0</v>
      </c>
      <c r="P82" s="13">
        <v>0</v>
      </c>
      <c r="Q82" s="13">
        <v>1</v>
      </c>
      <c r="R82" s="13">
        <v>0</v>
      </c>
      <c r="S82" s="13">
        <v>0</v>
      </c>
    </row>
    <row r="83" spans="1:19" ht="15" customHeight="1" x14ac:dyDescent="0.35">
      <c r="A83" s="34" t="s">
        <v>83</v>
      </c>
      <c r="B83" s="35">
        <v>2021</v>
      </c>
      <c r="C83" s="36">
        <v>0</v>
      </c>
      <c r="D83" s="35" t="s">
        <v>72</v>
      </c>
      <c r="E83" s="37">
        <v>284.58999999999997</v>
      </c>
      <c r="F83" s="35" t="s">
        <v>24</v>
      </c>
      <c r="G83" s="37">
        <v>0</v>
      </c>
      <c r="H83" s="38">
        <v>0</v>
      </c>
      <c r="I83" s="39"/>
      <c r="J83" s="39">
        <v>5.6509999999999998</v>
      </c>
      <c r="K83" s="13">
        <v>0</v>
      </c>
      <c r="L83" s="13">
        <v>0</v>
      </c>
      <c r="M83" s="13">
        <v>0</v>
      </c>
      <c r="N83" s="13">
        <v>1</v>
      </c>
      <c r="O83" s="13">
        <v>0</v>
      </c>
      <c r="P83" s="13">
        <v>0</v>
      </c>
      <c r="Q83" s="13">
        <v>1</v>
      </c>
      <c r="R83" s="13">
        <v>0</v>
      </c>
      <c r="S83" s="13">
        <v>0</v>
      </c>
    </row>
    <row r="84" spans="1:19" ht="15" customHeight="1" x14ac:dyDescent="0.35">
      <c r="A84" s="40" t="s">
        <v>83</v>
      </c>
      <c r="B84" s="41">
        <v>2022</v>
      </c>
      <c r="C84" s="42">
        <v>5.01</v>
      </c>
      <c r="D84" s="41" t="s">
        <v>72</v>
      </c>
      <c r="E84" s="43">
        <v>289.18</v>
      </c>
      <c r="F84" s="41" t="s">
        <v>24</v>
      </c>
      <c r="G84" s="43">
        <v>434.63754</v>
      </c>
      <c r="H84" s="44">
        <v>1.72651457715901E-2</v>
      </c>
      <c r="I84" s="45">
        <v>1.6113999999999999</v>
      </c>
      <c r="J84" s="45">
        <v>5.6669999999999998</v>
      </c>
      <c r="K84" s="13">
        <v>0</v>
      </c>
      <c r="L84" s="13">
        <v>0</v>
      </c>
      <c r="M84" s="13">
        <v>0</v>
      </c>
      <c r="N84" s="13">
        <v>1</v>
      </c>
      <c r="O84" s="13">
        <v>0</v>
      </c>
      <c r="P84" s="13">
        <v>0</v>
      </c>
      <c r="Q84" s="13">
        <v>1</v>
      </c>
      <c r="R84" s="13">
        <v>0</v>
      </c>
      <c r="S84" s="13">
        <v>0</v>
      </c>
    </row>
    <row r="85" spans="1:19" ht="15" customHeight="1" x14ac:dyDescent="0.35">
      <c r="A85" s="34" t="s">
        <v>83</v>
      </c>
      <c r="B85" s="35">
        <v>2023</v>
      </c>
      <c r="C85" s="36">
        <v>5.0599999999999996</v>
      </c>
      <c r="D85" s="35" t="s">
        <v>72</v>
      </c>
      <c r="E85" s="37">
        <v>294.08</v>
      </c>
      <c r="F85" s="35" t="s">
        <v>24</v>
      </c>
      <c r="G85" s="37">
        <v>446.41343999999998</v>
      </c>
      <c r="H85" s="38">
        <v>1.7147892097058401E-2</v>
      </c>
      <c r="I85" s="39">
        <v>1.6214</v>
      </c>
      <c r="J85" s="39">
        <v>5.6839000000000004</v>
      </c>
      <c r="K85" s="13">
        <v>0</v>
      </c>
      <c r="L85" s="13">
        <v>0</v>
      </c>
      <c r="M85" s="13">
        <v>0</v>
      </c>
      <c r="N85" s="13">
        <v>1</v>
      </c>
      <c r="O85" s="13">
        <v>0</v>
      </c>
      <c r="P85" s="13">
        <v>0</v>
      </c>
      <c r="Q85" s="13">
        <v>1</v>
      </c>
      <c r="R85" s="13">
        <v>0</v>
      </c>
      <c r="S85" s="13">
        <v>0</v>
      </c>
    </row>
    <row r="86" spans="1:19" ht="15" customHeight="1" x14ac:dyDescent="0.35">
      <c r="A86" s="40" t="s">
        <v>84</v>
      </c>
      <c r="B86" s="41">
        <v>2015</v>
      </c>
      <c r="C86" s="42">
        <v>24.47</v>
      </c>
      <c r="D86" s="41" t="s">
        <v>72</v>
      </c>
      <c r="E86" s="43">
        <v>47.1</v>
      </c>
      <c r="F86" s="41" t="s">
        <v>22</v>
      </c>
      <c r="G86" s="43">
        <v>345.7611</v>
      </c>
      <c r="H86" s="44">
        <v>0.50873180873180901</v>
      </c>
      <c r="I86" s="45">
        <v>3.1974</v>
      </c>
      <c r="J86" s="45">
        <v>3.8523000000000001</v>
      </c>
      <c r="K86" s="13">
        <v>0</v>
      </c>
      <c r="L86" s="13">
        <v>0</v>
      </c>
      <c r="M86" s="13">
        <v>1</v>
      </c>
      <c r="N86" s="13">
        <v>0</v>
      </c>
      <c r="O86" s="13">
        <v>0</v>
      </c>
      <c r="P86" s="13">
        <v>0</v>
      </c>
      <c r="Q86" s="13">
        <v>1</v>
      </c>
      <c r="R86" s="13">
        <v>0</v>
      </c>
      <c r="S86" s="13">
        <v>1</v>
      </c>
    </row>
    <row r="87" spans="1:19" ht="15" customHeight="1" x14ac:dyDescent="0.35">
      <c r="A87" s="34" t="s">
        <v>84</v>
      </c>
      <c r="B87" s="35">
        <v>2016</v>
      </c>
      <c r="C87" s="36">
        <v>25.61</v>
      </c>
      <c r="D87" s="35" t="s">
        <v>72</v>
      </c>
      <c r="E87" s="37">
        <v>51.43</v>
      </c>
      <c r="F87" s="35" t="s">
        <v>22</v>
      </c>
      <c r="G87" s="37">
        <v>395.13668999999999</v>
      </c>
      <c r="H87" s="38">
        <v>0.48846080488270099</v>
      </c>
      <c r="I87" s="39">
        <v>3.2429999999999999</v>
      </c>
      <c r="J87" s="39">
        <v>3.9401999999999999</v>
      </c>
      <c r="K87" s="13">
        <v>0</v>
      </c>
      <c r="L87" s="13">
        <v>0</v>
      </c>
      <c r="M87" s="13">
        <v>1</v>
      </c>
      <c r="N87" s="13">
        <v>0</v>
      </c>
      <c r="O87" s="13">
        <v>0</v>
      </c>
      <c r="P87" s="13">
        <v>0</v>
      </c>
      <c r="Q87" s="13">
        <v>1</v>
      </c>
      <c r="R87" s="13">
        <v>0</v>
      </c>
      <c r="S87" s="13">
        <v>0</v>
      </c>
    </row>
    <row r="88" spans="1:19" ht="15" customHeight="1" x14ac:dyDescent="0.35">
      <c r="A88" s="40" t="s">
        <v>84</v>
      </c>
      <c r="B88" s="41">
        <v>2017</v>
      </c>
      <c r="C88" s="42">
        <v>24.78</v>
      </c>
      <c r="D88" s="41" t="s">
        <v>72</v>
      </c>
      <c r="E88" s="43">
        <v>49.09</v>
      </c>
      <c r="F88" s="41" t="s">
        <v>22</v>
      </c>
      <c r="G88" s="43">
        <v>364.93506000000002</v>
      </c>
      <c r="H88" s="44">
        <v>0.494709522858854</v>
      </c>
      <c r="I88" s="45">
        <v>3.21</v>
      </c>
      <c r="J88" s="45">
        <v>3.8936999999999999</v>
      </c>
      <c r="K88" s="13">
        <v>0</v>
      </c>
      <c r="L88" s="13">
        <v>0</v>
      </c>
      <c r="M88" s="13">
        <v>1</v>
      </c>
      <c r="N88" s="13">
        <v>0</v>
      </c>
      <c r="O88" s="13">
        <v>0</v>
      </c>
      <c r="P88" s="13">
        <v>0</v>
      </c>
      <c r="Q88" s="13">
        <v>1</v>
      </c>
      <c r="R88" s="13">
        <v>0</v>
      </c>
      <c r="S88" s="13">
        <v>0</v>
      </c>
    </row>
    <row r="89" spans="1:19" ht="15" customHeight="1" x14ac:dyDescent="0.35">
      <c r="A89" s="34" t="s">
        <v>84</v>
      </c>
      <c r="B89" s="35">
        <v>2018</v>
      </c>
      <c r="C89" s="36">
        <v>28.82</v>
      </c>
      <c r="D89" s="35" t="s">
        <v>72</v>
      </c>
      <c r="E89" s="37">
        <v>48.81</v>
      </c>
      <c r="F89" s="35" t="s">
        <v>22</v>
      </c>
      <c r="G89" s="37">
        <v>422.01125999999999</v>
      </c>
      <c r="H89" s="38">
        <v>0.57859867496486705</v>
      </c>
      <c r="I89" s="39">
        <v>3.3611</v>
      </c>
      <c r="J89" s="39">
        <v>3.8879000000000001</v>
      </c>
      <c r="K89" s="13">
        <v>0</v>
      </c>
      <c r="L89" s="13">
        <v>0</v>
      </c>
      <c r="M89" s="13">
        <v>1</v>
      </c>
      <c r="N89" s="13">
        <v>0</v>
      </c>
      <c r="O89" s="13">
        <v>0</v>
      </c>
      <c r="P89" s="13">
        <v>0</v>
      </c>
      <c r="Q89" s="13">
        <v>1</v>
      </c>
      <c r="R89" s="13">
        <v>0</v>
      </c>
      <c r="S89" s="13">
        <v>0</v>
      </c>
    </row>
    <row r="90" spans="1:19" ht="15" customHeight="1" x14ac:dyDescent="0.35">
      <c r="A90" s="40" t="s">
        <v>84</v>
      </c>
      <c r="B90" s="41">
        <v>2019</v>
      </c>
      <c r="C90" s="42">
        <v>26.39</v>
      </c>
      <c r="D90" s="41" t="s">
        <v>72</v>
      </c>
      <c r="E90" s="43">
        <v>45.11</v>
      </c>
      <c r="F90" s="41" t="s">
        <v>22</v>
      </c>
      <c r="G90" s="43">
        <v>357.13587000000001</v>
      </c>
      <c r="H90" s="44">
        <v>0.57232704402515699</v>
      </c>
      <c r="I90" s="45">
        <v>3.2730000000000001</v>
      </c>
      <c r="J90" s="45">
        <v>3.8090999999999999</v>
      </c>
      <c r="K90" s="13">
        <v>0</v>
      </c>
      <c r="L90" s="13">
        <v>0</v>
      </c>
      <c r="M90" s="13">
        <v>1</v>
      </c>
      <c r="N90" s="13">
        <v>0</v>
      </c>
      <c r="O90" s="13">
        <v>0</v>
      </c>
      <c r="P90" s="13">
        <v>0</v>
      </c>
      <c r="Q90" s="13">
        <v>1</v>
      </c>
      <c r="R90" s="13">
        <v>0</v>
      </c>
      <c r="S90" s="13">
        <v>0</v>
      </c>
    </row>
    <row r="91" spans="1:19" ht="15" customHeight="1" x14ac:dyDescent="0.35">
      <c r="A91" s="34" t="s">
        <v>84</v>
      </c>
      <c r="B91" s="35">
        <v>2020</v>
      </c>
      <c r="C91" s="36">
        <v>25.93</v>
      </c>
      <c r="D91" s="35" t="s">
        <v>72</v>
      </c>
      <c r="E91" s="37">
        <v>42.86</v>
      </c>
      <c r="F91" s="35" t="s">
        <v>22</v>
      </c>
      <c r="G91" s="37">
        <v>333.40794</v>
      </c>
      <c r="H91" s="38">
        <v>0.59119927040583697</v>
      </c>
      <c r="I91" s="39">
        <v>3.2553999999999998</v>
      </c>
      <c r="J91" s="39">
        <v>3.7578999999999998</v>
      </c>
      <c r="K91" s="13">
        <v>0</v>
      </c>
      <c r="L91" s="13">
        <v>0</v>
      </c>
      <c r="M91" s="13">
        <v>1</v>
      </c>
      <c r="N91" s="13">
        <v>0</v>
      </c>
      <c r="O91" s="13">
        <v>0</v>
      </c>
      <c r="P91" s="13">
        <v>0</v>
      </c>
      <c r="Q91" s="13">
        <v>1</v>
      </c>
      <c r="R91" s="13">
        <v>0</v>
      </c>
      <c r="S91" s="13">
        <v>0</v>
      </c>
    </row>
    <row r="92" spans="1:19" ht="15" customHeight="1" x14ac:dyDescent="0.35">
      <c r="A92" s="40" t="s">
        <v>84</v>
      </c>
      <c r="B92" s="41">
        <v>2021</v>
      </c>
      <c r="C92" s="42">
        <v>28.14</v>
      </c>
      <c r="D92" s="41" t="s">
        <v>72</v>
      </c>
      <c r="E92" s="43">
        <v>42.36</v>
      </c>
      <c r="F92" s="41" t="s">
        <v>22</v>
      </c>
      <c r="G92" s="43">
        <v>357.60311999999999</v>
      </c>
      <c r="H92" s="44">
        <v>0.64898523985239898</v>
      </c>
      <c r="I92" s="45">
        <v>3.3372000000000002</v>
      </c>
      <c r="J92" s="45">
        <v>3.7462</v>
      </c>
      <c r="K92" s="13">
        <v>0</v>
      </c>
      <c r="L92" s="13">
        <v>0</v>
      </c>
      <c r="M92" s="13">
        <v>1</v>
      </c>
      <c r="N92" s="13">
        <v>0</v>
      </c>
      <c r="O92" s="13">
        <v>0</v>
      </c>
      <c r="P92" s="13">
        <v>0</v>
      </c>
      <c r="Q92" s="13">
        <v>1</v>
      </c>
      <c r="R92" s="13">
        <v>0</v>
      </c>
      <c r="S92" s="13">
        <v>0</v>
      </c>
    </row>
    <row r="93" spans="1:19" ht="15" customHeight="1" x14ac:dyDescent="0.35">
      <c r="A93" s="34" t="s">
        <v>84</v>
      </c>
      <c r="B93" s="35">
        <v>2022</v>
      </c>
      <c r="C93" s="36">
        <v>26.62</v>
      </c>
      <c r="D93" s="35" t="s">
        <v>72</v>
      </c>
      <c r="E93" s="37">
        <v>40.64</v>
      </c>
      <c r="F93" s="35" t="s">
        <v>22</v>
      </c>
      <c r="G93" s="37">
        <v>324.55104</v>
      </c>
      <c r="H93" s="38">
        <v>0.63928914505283396</v>
      </c>
      <c r="I93" s="39">
        <v>3.2816999999999998</v>
      </c>
      <c r="J93" s="39">
        <v>3.7048000000000001</v>
      </c>
      <c r="K93" s="13">
        <v>0</v>
      </c>
      <c r="L93" s="13">
        <v>0</v>
      </c>
      <c r="M93" s="13">
        <v>1</v>
      </c>
      <c r="N93" s="13">
        <v>0</v>
      </c>
      <c r="O93" s="13">
        <v>0</v>
      </c>
      <c r="P93" s="13">
        <v>0</v>
      </c>
      <c r="Q93" s="13">
        <v>1</v>
      </c>
      <c r="R93" s="13">
        <v>0</v>
      </c>
      <c r="S93" s="13">
        <v>0</v>
      </c>
    </row>
    <row r="94" spans="1:19" ht="15" customHeight="1" x14ac:dyDescent="0.35">
      <c r="A94" s="40" t="s">
        <v>84</v>
      </c>
      <c r="B94" s="41">
        <v>2023</v>
      </c>
      <c r="C94" s="42">
        <v>26.53</v>
      </c>
      <c r="D94" s="41" t="s">
        <v>72</v>
      </c>
      <c r="E94" s="43">
        <v>38.04</v>
      </c>
      <c r="F94" s="41" t="s">
        <v>22</v>
      </c>
      <c r="G94" s="43">
        <v>302.76035999999999</v>
      </c>
      <c r="H94" s="44">
        <v>0.67955942622950805</v>
      </c>
      <c r="I94" s="45">
        <v>3.2783000000000002</v>
      </c>
      <c r="J94" s="45">
        <v>3.6385999999999998</v>
      </c>
      <c r="K94" s="13">
        <v>0</v>
      </c>
      <c r="L94" s="13">
        <v>0</v>
      </c>
      <c r="M94" s="13">
        <v>1</v>
      </c>
      <c r="N94" s="13">
        <v>0</v>
      </c>
      <c r="O94" s="13">
        <v>0</v>
      </c>
      <c r="P94" s="13">
        <v>0</v>
      </c>
      <c r="Q94" s="13">
        <v>1</v>
      </c>
      <c r="R94" s="13">
        <v>0</v>
      </c>
      <c r="S94" s="13">
        <v>0</v>
      </c>
    </row>
    <row r="95" spans="1:19" ht="15" customHeight="1" x14ac:dyDescent="0.35">
      <c r="A95" s="34" t="s">
        <v>85</v>
      </c>
      <c r="B95" s="35">
        <v>2015</v>
      </c>
      <c r="C95" s="36">
        <v>7.68</v>
      </c>
      <c r="D95" s="35" t="s">
        <v>71</v>
      </c>
      <c r="E95" s="37">
        <v>3242.91</v>
      </c>
      <c r="F95" s="35" t="s">
        <v>22</v>
      </c>
      <c r="G95" s="37">
        <v>7471.66464</v>
      </c>
      <c r="H95" s="38">
        <v>2.36751327872845E-3</v>
      </c>
      <c r="I95" s="39">
        <v>2.0386000000000002</v>
      </c>
      <c r="J95" s="39">
        <v>8.0841999999999992</v>
      </c>
      <c r="K95" s="13">
        <v>0</v>
      </c>
      <c r="L95" s="13">
        <v>0</v>
      </c>
      <c r="M95" s="13">
        <v>1</v>
      </c>
      <c r="N95" s="13">
        <v>0</v>
      </c>
      <c r="O95" s="13">
        <v>0</v>
      </c>
      <c r="P95" s="13">
        <v>0</v>
      </c>
      <c r="Q95" s="13">
        <v>0</v>
      </c>
      <c r="R95" s="13">
        <v>1</v>
      </c>
      <c r="S95" s="13">
        <v>1</v>
      </c>
    </row>
    <row r="96" spans="1:19" ht="15" customHeight="1" x14ac:dyDescent="0.35">
      <c r="A96" s="40" t="s">
        <v>85</v>
      </c>
      <c r="B96" s="41">
        <v>2016</v>
      </c>
      <c r="C96" s="42">
        <v>4.87</v>
      </c>
      <c r="D96" s="41" t="s">
        <v>71</v>
      </c>
      <c r="E96" s="43">
        <v>3427.84</v>
      </c>
      <c r="F96" s="41" t="s">
        <v>22</v>
      </c>
      <c r="G96" s="43">
        <v>5008.0742399999999</v>
      </c>
      <c r="H96" s="44">
        <v>1.4203054094095999E-3</v>
      </c>
      <c r="I96" s="45">
        <v>1.5831</v>
      </c>
      <c r="J96" s="45">
        <v>8.1396999999999995</v>
      </c>
      <c r="K96" s="13">
        <v>0</v>
      </c>
      <c r="L96" s="13">
        <v>0</v>
      </c>
      <c r="M96" s="13">
        <v>1</v>
      </c>
      <c r="N96" s="13">
        <v>0</v>
      </c>
      <c r="O96" s="13">
        <v>0</v>
      </c>
      <c r="P96" s="13">
        <v>0</v>
      </c>
      <c r="Q96" s="13">
        <v>0</v>
      </c>
      <c r="R96" s="13">
        <v>1</v>
      </c>
      <c r="S96" s="13">
        <v>0</v>
      </c>
    </row>
    <row r="97" spans="1:19" ht="15" customHeight="1" x14ac:dyDescent="0.35">
      <c r="A97" s="34" t="s">
        <v>85</v>
      </c>
      <c r="B97" s="35">
        <v>2017</v>
      </c>
      <c r="C97" s="36">
        <v>5.64</v>
      </c>
      <c r="D97" s="35" t="s">
        <v>71</v>
      </c>
      <c r="E97" s="37">
        <v>3447.15</v>
      </c>
      <c r="F97" s="35" t="s">
        <v>22</v>
      </c>
      <c r="G97" s="37">
        <v>5832.5778</v>
      </c>
      <c r="H97" s="38">
        <v>1.6356597015791099E-3</v>
      </c>
      <c r="I97" s="39">
        <v>1.7299</v>
      </c>
      <c r="J97" s="39">
        <v>8.1453000000000007</v>
      </c>
      <c r="K97" s="13">
        <v>0</v>
      </c>
      <c r="L97" s="13">
        <v>0</v>
      </c>
      <c r="M97" s="13">
        <v>1</v>
      </c>
      <c r="N97" s="13">
        <v>0</v>
      </c>
      <c r="O97" s="13">
        <v>0</v>
      </c>
      <c r="P97" s="13">
        <v>0</v>
      </c>
      <c r="Q97" s="13">
        <v>0</v>
      </c>
      <c r="R97" s="13">
        <v>1</v>
      </c>
      <c r="S97" s="13">
        <v>0</v>
      </c>
    </row>
    <row r="98" spans="1:19" ht="15" customHeight="1" x14ac:dyDescent="0.35">
      <c r="A98" s="40" t="s">
        <v>85</v>
      </c>
      <c r="B98" s="41">
        <v>2018</v>
      </c>
      <c r="C98" s="42">
        <v>16.37</v>
      </c>
      <c r="D98" s="41" t="s">
        <v>71</v>
      </c>
      <c r="E98" s="43">
        <v>3362.93</v>
      </c>
      <c r="F98" s="41" t="s">
        <v>22</v>
      </c>
      <c r="G98" s="43">
        <v>16515.34923</v>
      </c>
      <c r="H98" s="44">
        <v>4.86633193913072E-3</v>
      </c>
      <c r="I98" s="45">
        <v>2.7955000000000001</v>
      </c>
      <c r="J98" s="45">
        <v>8.1205999999999996</v>
      </c>
      <c r="K98" s="13">
        <v>0</v>
      </c>
      <c r="L98" s="13">
        <v>0</v>
      </c>
      <c r="M98" s="13">
        <v>1</v>
      </c>
      <c r="N98" s="13">
        <v>0</v>
      </c>
      <c r="O98" s="13">
        <v>0</v>
      </c>
      <c r="P98" s="13">
        <v>0</v>
      </c>
      <c r="Q98" s="13">
        <v>0</v>
      </c>
      <c r="R98" s="13">
        <v>1</v>
      </c>
      <c r="S98" s="13">
        <v>0</v>
      </c>
    </row>
    <row r="99" spans="1:19" ht="15" customHeight="1" x14ac:dyDescent="0.35">
      <c r="A99" s="34" t="s">
        <v>85</v>
      </c>
      <c r="B99" s="35">
        <v>2019</v>
      </c>
      <c r="C99" s="36">
        <v>24.51</v>
      </c>
      <c r="D99" s="35" t="s">
        <v>71</v>
      </c>
      <c r="E99" s="37">
        <v>3220.53</v>
      </c>
      <c r="F99" s="35" t="s">
        <v>22</v>
      </c>
      <c r="G99" s="37">
        <v>23680.557089999998</v>
      </c>
      <c r="H99" s="38">
        <v>7.6081861724087603E-3</v>
      </c>
      <c r="I99" s="39">
        <v>3.1991000000000001</v>
      </c>
      <c r="J99" s="39">
        <v>8.0772999999999993</v>
      </c>
      <c r="K99" s="13">
        <v>0</v>
      </c>
      <c r="L99" s="13">
        <v>0</v>
      </c>
      <c r="M99" s="13">
        <v>1</v>
      </c>
      <c r="N99" s="13">
        <v>0</v>
      </c>
      <c r="O99" s="13">
        <v>0</v>
      </c>
      <c r="P99" s="13">
        <v>0</v>
      </c>
      <c r="Q99" s="13">
        <v>0</v>
      </c>
      <c r="R99" s="13">
        <v>1</v>
      </c>
      <c r="S99" s="13">
        <v>0</v>
      </c>
    </row>
    <row r="100" spans="1:19" ht="15" customHeight="1" x14ac:dyDescent="0.35">
      <c r="A100" s="40" t="s">
        <v>85</v>
      </c>
      <c r="B100" s="41">
        <v>2020</v>
      </c>
      <c r="C100" s="42">
        <v>18.54</v>
      </c>
      <c r="D100" s="41" t="s">
        <v>71</v>
      </c>
      <c r="E100" s="43">
        <v>2955.73</v>
      </c>
      <c r="F100" s="41" t="s">
        <v>22</v>
      </c>
      <c r="G100" s="43">
        <v>16439.770260000001</v>
      </c>
      <c r="H100" s="44">
        <v>6.2704406557243996E-3</v>
      </c>
      <c r="I100" s="45">
        <v>2.9199000000000002</v>
      </c>
      <c r="J100" s="45">
        <v>7.9915000000000003</v>
      </c>
      <c r="K100" s="13">
        <v>0</v>
      </c>
      <c r="L100" s="13">
        <v>0</v>
      </c>
      <c r="M100" s="13">
        <v>1</v>
      </c>
      <c r="N100" s="13">
        <v>0</v>
      </c>
      <c r="O100" s="13">
        <v>0</v>
      </c>
      <c r="P100" s="13">
        <v>0</v>
      </c>
      <c r="Q100" s="13">
        <v>0</v>
      </c>
      <c r="R100" s="13">
        <v>1</v>
      </c>
      <c r="S100" s="13">
        <v>0</v>
      </c>
    </row>
    <row r="101" spans="1:19" ht="15" customHeight="1" x14ac:dyDescent="0.35">
      <c r="A101" s="34" t="s">
        <v>85</v>
      </c>
      <c r="B101" s="35">
        <v>2021</v>
      </c>
      <c r="C101" s="36">
        <v>49.78</v>
      </c>
      <c r="D101" s="35" t="s">
        <v>71</v>
      </c>
      <c r="E101" s="37">
        <v>3317.97</v>
      </c>
      <c r="F101" s="35" t="s">
        <v>22</v>
      </c>
      <c r="G101" s="37">
        <v>49550.563979999999</v>
      </c>
      <c r="H101" s="38">
        <v>1.49986290927607E-2</v>
      </c>
      <c r="I101" s="39">
        <v>3.9076</v>
      </c>
      <c r="J101" s="39">
        <v>8.1071000000000009</v>
      </c>
      <c r="K101" s="13">
        <v>0</v>
      </c>
      <c r="L101" s="13">
        <v>0</v>
      </c>
      <c r="M101" s="13">
        <v>1</v>
      </c>
      <c r="N101" s="13">
        <v>0</v>
      </c>
      <c r="O101" s="13">
        <v>0</v>
      </c>
      <c r="P101" s="13">
        <v>0</v>
      </c>
      <c r="Q101" s="13">
        <v>0</v>
      </c>
      <c r="R101" s="13">
        <v>1</v>
      </c>
      <c r="S101" s="13">
        <v>0</v>
      </c>
    </row>
    <row r="102" spans="1:19" ht="15" customHeight="1" x14ac:dyDescent="0.35">
      <c r="A102" s="40" t="s">
        <v>85</v>
      </c>
      <c r="B102" s="41">
        <v>2022</v>
      </c>
      <c r="C102" s="42">
        <v>86.53</v>
      </c>
      <c r="D102" s="41" t="s">
        <v>71</v>
      </c>
      <c r="E102" s="43">
        <v>3247.8</v>
      </c>
      <c r="F102" s="41" t="s">
        <v>22</v>
      </c>
      <c r="G102" s="43">
        <v>84309.640199999994</v>
      </c>
      <c r="H102" s="44">
        <v>2.6634449642945101E-2</v>
      </c>
      <c r="I102" s="45">
        <v>4.4604999999999997</v>
      </c>
      <c r="J102" s="45">
        <v>8.0856999999999992</v>
      </c>
      <c r="K102" s="13">
        <v>0</v>
      </c>
      <c r="L102" s="13">
        <v>0</v>
      </c>
      <c r="M102" s="13">
        <v>1</v>
      </c>
      <c r="N102" s="13">
        <v>0</v>
      </c>
      <c r="O102" s="13">
        <v>0</v>
      </c>
      <c r="P102" s="13">
        <v>0</v>
      </c>
      <c r="Q102" s="13">
        <v>0</v>
      </c>
      <c r="R102" s="13">
        <v>1</v>
      </c>
      <c r="S102" s="13">
        <v>0</v>
      </c>
    </row>
    <row r="103" spans="1:19" ht="15" customHeight="1" x14ac:dyDescent="0.35">
      <c r="A103" s="34" t="s">
        <v>85</v>
      </c>
      <c r="B103" s="35">
        <v>2023</v>
      </c>
      <c r="C103" s="36">
        <v>96.3</v>
      </c>
      <c r="D103" s="35" t="s">
        <v>71</v>
      </c>
      <c r="E103" s="37">
        <v>3027.98</v>
      </c>
      <c r="F103" s="35" t="s">
        <v>22</v>
      </c>
      <c r="G103" s="37">
        <v>87478.342199999999</v>
      </c>
      <c r="H103" s="38">
        <v>3.17928807717449E-2</v>
      </c>
      <c r="I103" s="39">
        <v>4.5674999999999999</v>
      </c>
      <c r="J103" s="39">
        <v>8.0157000000000007</v>
      </c>
      <c r="K103" s="13">
        <v>0</v>
      </c>
      <c r="L103" s="13">
        <v>0</v>
      </c>
      <c r="M103" s="13">
        <v>1</v>
      </c>
      <c r="N103" s="13">
        <v>0</v>
      </c>
      <c r="O103" s="13">
        <v>0</v>
      </c>
      <c r="P103" s="13">
        <v>0</v>
      </c>
      <c r="Q103" s="13">
        <v>0</v>
      </c>
      <c r="R103" s="13">
        <v>1</v>
      </c>
      <c r="S103" s="13">
        <v>0</v>
      </c>
    </row>
    <row r="104" spans="1:19" ht="15" customHeight="1" x14ac:dyDescent="0.35">
      <c r="A104" s="40" t="s">
        <v>86</v>
      </c>
      <c r="B104" s="41">
        <v>2015</v>
      </c>
      <c r="C104" s="42">
        <v>2.15</v>
      </c>
      <c r="D104" s="41" t="s">
        <v>72</v>
      </c>
      <c r="E104" s="43">
        <v>14.27</v>
      </c>
      <c r="F104" s="41" t="s">
        <v>22</v>
      </c>
      <c r="G104" s="43">
        <v>9.2041500000000003</v>
      </c>
      <c r="H104" s="44">
        <v>0.140798952193844</v>
      </c>
      <c r="I104" s="45">
        <v>0.76549999999999996</v>
      </c>
      <c r="J104" s="45">
        <v>2.6581999999999999</v>
      </c>
      <c r="K104" s="13">
        <v>0</v>
      </c>
      <c r="L104" s="13">
        <v>0</v>
      </c>
      <c r="M104" s="13">
        <v>1</v>
      </c>
      <c r="N104" s="13">
        <v>0</v>
      </c>
      <c r="O104" s="13">
        <v>0</v>
      </c>
      <c r="P104" s="13">
        <v>0</v>
      </c>
      <c r="Q104" s="13">
        <v>1</v>
      </c>
      <c r="R104" s="13">
        <v>0</v>
      </c>
      <c r="S104" s="13">
        <v>1</v>
      </c>
    </row>
    <row r="105" spans="1:19" ht="15" customHeight="1" x14ac:dyDescent="0.35">
      <c r="A105" s="34" t="s">
        <v>86</v>
      </c>
      <c r="B105" s="35">
        <v>2016</v>
      </c>
      <c r="C105" s="36">
        <v>2.23</v>
      </c>
      <c r="D105" s="35" t="s">
        <v>72</v>
      </c>
      <c r="E105" s="37">
        <v>27.88</v>
      </c>
      <c r="F105" s="35" t="s">
        <v>22</v>
      </c>
      <c r="G105" s="37">
        <v>18.651720000000001</v>
      </c>
      <c r="H105" s="38">
        <v>7.72160664819945E-2</v>
      </c>
      <c r="I105" s="39">
        <v>0.80200000000000005</v>
      </c>
      <c r="J105" s="39">
        <v>3.3279000000000001</v>
      </c>
      <c r="K105" s="13">
        <v>0</v>
      </c>
      <c r="L105" s="13">
        <v>0</v>
      </c>
      <c r="M105" s="13">
        <v>1</v>
      </c>
      <c r="N105" s="13">
        <v>0</v>
      </c>
      <c r="O105" s="13">
        <v>0</v>
      </c>
      <c r="P105" s="13">
        <v>0</v>
      </c>
      <c r="Q105" s="13">
        <v>1</v>
      </c>
      <c r="R105" s="13">
        <v>0</v>
      </c>
      <c r="S105" s="13">
        <v>0</v>
      </c>
    </row>
    <row r="106" spans="1:19" ht="15" customHeight="1" x14ac:dyDescent="0.35">
      <c r="A106" s="40" t="s">
        <v>86</v>
      </c>
      <c r="B106" s="41">
        <v>2017</v>
      </c>
      <c r="C106" s="42">
        <v>2.14</v>
      </c>
      <c r="D106" s="41" t="s">
        <v>72</v>
      </c>
      <c r="E106" s="43">
        <v>28.81</v>
      </c>
      <c r="F106" s="41" t="s">
        <v>22</v>
      </c>
      <c r="G106" s="43">
        <v>18.496020000000001</v>
      </c>
      <c r="H106" s="44">
        <v>7.1787990607178803E-2</v>
      </c>
      <c r="I106" s="45">
        <v>0.76080000000000003</v>
      </c>
      <c r="J106" s="45">
        <v>3.3607</v>
      </c>
      <c r="K106" s="13">
        <v>0</v>
      </c>
      <c r="L106" s="13">
        <v>0</v>
      </c>
      <c r="M106" s="13">
        <v>1</v>
      </c>
      <c r="N106" s="13">
        <v>0</v>
      </c>
      <c r="O106" s="13">
        <v>0</v>
      </c>
      <c r="P106" s="13">
        <v>0</v>
      </c>
      <c r="Q106" s="13">
        <v>1</v>
      </c>
      <c r="R106" s="13">
        <v>0</v>
      </c>
      <c r="S106" s="13">
        <v>0</v>
      </c>
    </row>
    <row r="107" spans="1:19" ht="15" customHeight="1" x14ac:dyDescent="0.35">
      <c r="A107" s="34" t="s">
        <v>86</v>
      </c>
      <c r="B107" s="35">
        <v>2018</v>
      </c>
      <c r="C107" s="36">
        <v>2.48</v>
      </c>
      <c r="D107" s="35" t="s">
        <v>72</v>
      </c>
      <c r="E107" s="37">
        <v>27.8</v>
      </c>
      <c r="F107" s="35" t="s">
        <v>22</v>
      </c>
      <c r="G107" s="37">
        <v>20.683199999999999</v>
      </c>
      <c r="H107" s="38">
        <v>8.6111111111111097E-2</v>
      </c>
      <c r="I107" s="39">
        <v>0.9083</v>
      </c>
      <c r="J107" s="39">
        <v>3.3250000000000002</v>
      </c>
      <c r="K107" s="13">
        <v>0</v>
      </c>
      <c r="L107" s="13">
        <v>0</v>
      </c>
      <c r="M107" s="13">
        <v>1</v>
      </c>
      <c r="N107" s="13">
        <v>0</v>
      </c>
      <c r="O107" s="13">
        <v>0</v>
      </c>
      <c r="P107" s="13">
        <v>0</v>
      </c>
      <c r="Q107" s="13">
        <v>1</v>
      </c>
      <c r="R107" s="13">
        <v>0</v>
      </c>
      <c r="S107" s="13">
        <v>0</v>
      </c>
    </row>
    <row r="108" spans="1:19" ht="15" customHeight="1" x14ac:dyDescent="0.35">
      <c r="A108" s="40" t="s">
        <v>86</v>
      </c>
      <c r="B108" s="41">
        <v>2019</v>
      </c>
      <c r="C108" s="42">
        <v>2.25</v>
      </c>
      <c r="D108" s="41" t="s">
        <v>72</v>
      </c>
      <c r="E108" s="43">
        <v>22.16</v>
      </c>
      <c r="F108" s="41" t="s">
        <v>22</v>
      </c>
      <c r="G108" s="43">
        <v>14.958</v>
      </c>
      <c r="H108" s="44">
        <v>9.7150259067357497E-2</v>
      </c>
      <c r="I108" s="45">
        <v>0.81089999999999995</v>
      </c>
      <c r="J108" s="45">
        <v>3.0983000000000001</v>
      </c>
      <c r="K108" s="13">
        <v>0</v>
      </c>
      <c r="L108" s="13">
        <v>0</v>
      </c>
      <c r="M108" s="13">
        <v>1</v>
      </c>
      <c r="N108" s="13">
        <v>0</v>
      </c>
      <c r="O108" s="13">
        <v>0</v>
      </c>
      <c r="P108" s="13">
        <v>0</v>
      </c>
      <c r="Q108" s="13">
        <v>1</v>
      </c>
      <c r="R108" s="13">
        <v>0</v>
      </c>
      <c r="S108" s="13">
        <v>0</v>
      </c>
    </row>
    <row r="109" spans="1:19" ht="15" customHeight="1" x14ac:dyDescent="0.35">
      <c r="A109" s="34" t="s">
        <v>86</v>
      </c>
      <c r="B109" s="35">
        <v>2020</v>
      </c>
      <c r="C109" s="36">
        <v>2.19</v>
      </c>
      <c r="D109" s="35" t="s">
        <v>72</v>
      </c>
      <c r="E109" s="37">
        <v>19.100000000000001</v>
      </c>
      <c r="F109" s="35" t="s">
        <v>22</v>
      </c>
      <c r="G109" s="37">
        <v>12.5487</v>
      </c>
      <c r="H109" s="38">
        <v>0.108955223880597</v>
      </c>
      <c r="I109" s="39">
        <v>0.78390000000000004</v>
      </c>
      <c r="J109" s="39">
        <v>2.9497</v>
      </c>
      <c r="K109" s="13">
        <v>0</v>
      </c>
      <c r="L109" s="13">
        <v>0</v>
      </c>
      <c r="M109" s="13">
        <v>1</v>
      </c>
      <c r="N109" s="13">
        <v>0</v>
      </c>
      <c r="O109" s="13">
        <v>0</v>
      </c>
      <c r="P109" s="13">
        <v>0</v>
      </c>
      <c r="Q109" s="13">
        <v>1</v>
      </c>
      <c r="R109" s="13">
        <v>0</v>
      </c>
      <c r="S109" s="13">
        <v>0</v>
      </c>
    </row>
    <row r="110" spans="1:19" ht="15" customHeight="1" x14ac:dyDescent="0.35">
      <c r="A110" s="40" t="s">
        <v>86</v>
      </c>
      <c r="B110" s="41">
        <v>2021</v>
      </c>
      <c r="C110" s="42">
        <v>2.35</v>
      </c>
      <c r="D110" s="41" t="s">
        <v>72</v>
      </c>
      <c r="E110" s="43">
        <v>20.72</v>
      </c>
      <c r="F110" s="41" t="s">
        <v>22</v>
      </c>
      <c r="G110" s="43">
        <v>14.6076</v>
      </c>
      <c r="H110" s="44">
        <v>0.10819521178637199</v>
      </c>
      <c r="I110" s="45">
        <v>0.85440000000000005</v>
      </c>
      <c r="J110" s="45">
        <v>3.0310999999999999</v>
      </c>
      <c r="K110" s="13">
        <v>0</v>
      </c>
      <c r="L110" s="13">
        <v>0</v>
      </c>
      <c r="M110" s="13">
        <v>1</v>
      </c>
      <c r="N110" s="13">
        <v>0</v>
      </c>
      <c r="O110" s="13">
        <v>0</v>
      </c>
      <c r="P110" s="13">
        <v>0</v>
      </c>
      <c r="Q110" s="13">
        <v>1</v>
      </c>
      <c r="R110" s="13">
        <v>0</v>
      </c>
      <c r="S110" s="13">
        <v>0</v>
      </c>
    </row>
    <row r="111" spans="1:19" ht="15" customHeight="1" x14ac:dyDescent="0.35">
      <c r="A111" s="34" t="s">
        <v>86</v>
      </c>
      <c r="B111" s="35">
        <v>2022</v>
      </c>
      <c r="C111" s="36">
        <v>2.21</v>
      </c>
      <c r="D111" s="35" t="s">
        <v>72</v>
      </c>
      <c r="E111" s="37">
        <v>22.3</v>
      </c>
      <c r="F111" s="35" t="s">
        <v>22</v>
      </c>
      <c r="G111" s="37">
        <v>14.7849</v>
      </c>
      <c r="H111" s="38">
        <v>9.4849785407725304E-2</v>
      </c>
      <c r="I111" s="39">
        <v>0.79300000000000004</v>
      </c>
      <c r="J111" s="39">
        <v>3.1046</v>
      </c>
      <c r="K111" s="13">
        <v>0</v>
      </c>
      <c r="L111" s="13">
        <v>0</v>
      </c>
      <c r="M111" s="13">
        <v>1</v>
      </c>
      <c r="N111" s="13">
        <v>0</v>
      </c>
      <c r="O111" s="13">
        <v>0</v>
      </c>
      <c r="P111" s="13">
        <v>0</v>
      </c>
      <c r="Q111" s="13">
        <v>1</v>
      </c>
      <c r="R111" s="13">
        <v>0</v>
      </c>
      <c r="S111" s="13">
        <v>0</v>
      </c>
    </row>
    <row r="112" spans="1:19" ht="15" customHeight="1" x14ac:dyDescent="0.35">
      <c r="A112" s="40" t="s">
        <v>86</v>
      </c>
      <c r="B112" s="41">
        <v>2023</v>
      </c>
      <c r="C112" s="42">
        <v>2.17</v>
      </c>
      <c r="D112" s="41" t="s">
        <v>72</v>
      </c>
      <c r="E112" s="43">
        <v>18.86</v>
      </c>
      <c r="F112" s="41" t="s">
        <v>22</v>
      </c>
      <c r="G112" s="43">
        <v>12.27786</v>
      </c>
      <c r="H112" s="44">
        <v>0.10926485397784499</v>
      </c>
      <c r="I112" s="45">
        <v>0.77470000000000006</v>
      </c>
      <c r="J112" s="45">
        <v>2.9369999999999998</v>
      </c>
      <c r="K112" s="13">
        <v>0</v>
      </c>
      <c r="L112" s="13">
        <v>0</v>
      </c>
      <c r="M112" s="13">
        <v>1</v>
      </c>
      <c r="N112" s="13">
        <v>0</v>
      </c>
      <c r="O112" s="13">
        <v>0</v>
      </c>
      <c r="P112" s="13">
        <v>0</v>
      </c>
      <c r="Q112" s="13">
        <v>1</v>
      </c>
      <c r="R112" s="13">
        <v>0</v>
      </c>
      <c r="S112" s="13">
        <v>0</v>
      </c>
    </row>
    <row r="113" spans="1:19" ht="15" customHeight="1" x14ac:dyDescent="0.35">
      <c r="A113" s="34" t="s">
        <v>87</v>
      </c>
      <c r="B113" s="35">
        <v>2015</v>
      </c>
      <c r="C113" s="36">
        <v>47.42</v>
      </c>
      <c r="D113" s="35" t="s">
        <v>72</v>
      </c>
      <c r="E113" s="37">
        <v>5.92</v>
      </c>
      <c r="F113" s="35" t="s">
        <v>22</v>
      </c>
      <c r="G113" s="37">
        <v>84.217920000000007</v>
      </c>
      <c r="H113" s="38">
        <v>6.85260115606936</v>
      </c>
      <c r="I113" s="39">
        <v>3.859</v>
      </c>
      <c r="J113" s="39">
        <v>1.7783</v>
      </c>
      <c r="K113" s="13">
        <v>0</v>
      </c>
      <c r="L113" s="13">
        <v>0</v>
      </c>
      <c r="M113" s="13">
        <v>1</v>
      </c>
      <c r="N113" s="13">
        <v>0</v>
      </c>
      <c r="O113" s="13">
        <v>0</v>
      </c>
      <c r="P113" s="13">
        <v>0</v>
      </c>
      <c r="Q113" s="13">
        <v>1</v>
      </c>
      <c r="R113" s="13">
        <v>0</v>
      </c>
      <c r="S113" s="13">
        <v>1</v>
      </c>
    </row>
    <row r="114" spans="1:19" ht="15" customHeight="1" x14ac:dyDescent="0.35">
      <c r="A114" s="40" t="s">
        <v>87</v>
      </c>
      <c r="B114" s="41">
        <v>2016</v>
      </c>
      <c r="C114" s="42">
        <v>64.02</v>
      </c>
      <c r="D114" s="41" t="s">
        <v>72</v>
      </c>
      <c r="E114" s="43">
        <v>51.74</v>
      </c>
      <c r="F114" s="41" t="s">
        <v>22</v>
      </c>
      <c r="G114" s="43">
        <v>993.71843999999999</v>
      </c>
      <c r="H114" s="44">
        <v>1.2138794084186599</v>
      </c>
      <c r="I114" s="45">
        <v>4.1592000000000002</v>
      </c>
      <c r="J114" s="45">
        <v>3.9462000000000002</v>
      </c>
      <c r="K114" s="13">
        <v>0</v>
      </c>
      <c r="L114" s="13">
        <v>0</v>
      </c>
      <c r="M114" s="13">
        <v>1</v>
      </c>
      <c r="N114" s="13">
        <v>0</v>
      </c>
      <c r="O114" s="13">
        <v>0</v>
      </c>
      <c r="P114" s="13">
        <v>0</v>
      </c>
      <c r="Q114" s="13">
        <v>1</v>
      </c>
      <c r="R114" s="13">
        <v>0</v>
      </c>
      <c r="S114" s="13">
        <v>0</v>
      </c>
    </row>
    <row r="115" spans="1:19" ht="15" customHeight="1" x14ac:dyDescent="0.35">
      <c r="A115" s="34" t="s">
        <v>87</v>
      </c>
      <c r="B115" s="35">
        <v>2017</v>
      </c>
      <c r="C115" s="36">
        <v>64.14</v>
      </c>
      <c r="D115" s="35" t="s">
        <v>72</v>
      </c>
      <c r="E115" s="37">
        <v>49.15</v>
      </c>
      <c r="F115" s="35" t="s">
        <v>22</v>
      </c>
      <c r="G115" s="37">
        <v>945.74429999999995</v>
      </c>
      <c r="H115" s="38">
        <v>1.2789631106679999</v>
      </c>
      <c r="I115" s="39">
        <v>4.1611000000000002</v>
      </c>
      <c r="J115" s="39">
        <v>3.8948999999999998</v>
      </c>
      <c r="K115" s="13">
        <v>0</v>
      </c>
      <c r="L115" s="13">
        <v>0</v>
      </c>
      <c r="M115" s="13">
        <v>1</v>
      </c>
      <c r="N115" s="13">
        <v>0</v>
      </c>
      <c r="O115" s="13">
        <v>0</v>
      </c>
      <c r="P115" s="13">
        <v>0</v>
      </c>
      <c r="Q115" s="13">
        <v>1</v>
      </c>
      <c r="R115" s="13">
        <v>0</v>
      </c>
      <c r="S115" s="13">
        <v>0</v>
      </c>
    </row>
    <row r="116" spans="1:19" ht="15" customHeight="1" x14ac:dyDescent="0.35">
      <c r="A116" s="40" t="s">
        <v>87</v>
      </c>
      <c r="B116" s="41">
        <v>2018</v>
      </c>
      <c r="C116" s="42">
        <v>78.11</v>
      </c>
      <c r="D116" s="41" t="s">
        <v>72</v>
      </c>
      <c r="E116" s="43">
        <v>50.47</v>
      </c>
      <c r="F116" s="41" t="s">
        <v>22</v>
      </c>
      <c r="G116" s="43">
        <v>1182.6635100000001</v>
      </c>
      <c r="H116" s="44">
        <v>1.5175830580920899</v>
      </c>
      <c r="I116" s="45">
        <v>4.3581000000000003</v>
      </c>
      <c r="J116" s="45">
        <v>3.9214000000000002</v>
      </c>
      <c r="K116" s="13">
        <v>0</v>
      </c>
      <c r="L116" s="13">
        <v>0</v>
      </c>
      <c r="M116" s="13">
        <v>1</v>
      </c>
      <c r="N116" s="13">
        <v>0</v>
      </c>
      <c r="O116" s="13">
        <v>0</v>
      </c>
      <c r="P116" s="13">
        <v>0</v>
      </c>
      <c r="Q116" s="13">
        <v>1</v>
      </c>
      <c r="R116" s="13">
        <v>0</v>
      </c>
      <c r="S116" s="13">
        <v>0</v>
      </c>
    </row>
    <row r="117" spans="1:19" ht="15" customHeight="1" x14ac:dyDescent="0.35">
      <c r="A117" s="34" t="s">
        <v>87</v>
      </c>
      <c r="B117" s="35">
        <v>2019</v>
      </c>
      <c r="C117" s="36">
        <v>73.040000000000006</v>
      </c>
      <c r="D117" s="35" t="s">
        <v>72</v>
      </c>
      <c r="E117" s="37">
        <v>47.57</v>
      </c>
      <c r="F117" s="35" t="s">
        <v>22</v>
      </c>
      <c r="G117" s="37">
        <v>1042.35384</v>
      </c>
      <c r="H117" s="38">
        <v>1.50380893555693</v>
      </c>
      <c r="I117" s="39">
        <v>4.2910000000000004</v>
      </c>
      <c r="J117" s="39">
        <v>3.8622000000000001</v>
      </c>
      <c r="K117" s="13">
        <v>0</v>
      </c>
      <c r="L117" s="13">
        <v>0</v>
      </c>
      <c r="M117" s="13">
        <v>1</v>
      </c>
      <c r="N117" s="13">
        <v>0</v>
      </c>
      <c r="O117" s="13">
        <v>0</v>
      </c>
      <c r="P117" s="13">
        <v>0</v>
      </c>
      <c r="Q117" s="13">
        <v>1</v>
      </c>
      <c r="R117" s="13">
        <v>0</v>
      </c>
      <c r="S117" s="13">
        <v>0</v>
      </c>
    </row>
    <row r="118" spans="1:19" ht="15" customHeight="1" x14ac:dyDescent="0.35">
      <c r="A118" s="40" t="s">
        <v>87</v>
      </c>
      <c r="B118" s="41">
        <v>2020</v>
      </c>
      <c r="C118" s="42">
        <v>71.08</v>
      </c>
      <c r="D118" s="41" t="s">
        <v>72</v>
      </c>
      <c r="E118" s="43">
        <v>42.74</v>
      </c>
      <c r="F118" s="41" t="s">
        <v>22</v>
      </c>
      <c r="G118" s="43">
        <v>911.38775999999996</v>
      </c>
      <c r="H118" s="44">
        <v>1.62505715592135</v>
      </c>
      <c r="I118" s="45">
        <v>4.2637999999999998</v>
      </c>
      <c r="J118" s="45">
        <v>3.7551000000000001</v>
      </c>
      <c r="K118" s="13">
        <v>0</v>
      </c>
      <c r="L118" s="13">
        <v>0</v>
      </c>
      <c r="M118" s="13">
        <v>1</v>
      </c>
      <c r="N118" s="13">
        <v>0</v>
      </c>
      <c r="O118" s="13">
        <v>0</v>
      </c>
      <c r="P118" s="13">
        <v>0</v>
      </c>
      <c r="Q118" s="13">
        <v>1</v>
      </c>
      <c r="R118" s="13">
        <v>0</v>
      </c>
      <c r="S118" s="13">
        <v>0</v>
      </c>
    </row>
    <row r="119" spans="1:19" ht="15" customHeight="1" x14ac:dyDescent="0.35">
      <c r="A119" s="34" t="s">
        <v>87</v>
      </c>
      <c r="B119" s="35">
        <v>2021</v>
      </c>
      <c r="C119" s="36">
        <v>76.34</v>
      </c>
      <c r="D119" s="35" t="s">
        <v>72</v>
      </c>
      <c r="E119" s="37">
        <v>60.99</v>
      </c>
      <c r="F119" s="35" t="s">
        <v>22</v>
      </c>
      <c r="G119" s="37">
        <v>1396.7929799999999</v>
      </c>
      <c r="H119" s="38">
        <v>1.2314889498306201</v>
      </c>
      <c r="I119" s="39">
        <v>4.3352000000000004</v>
      </c>
      <c r="J119" s="39">
        <v>4.1106999999999996</v>
      </c>
      <c r="K119" s="13">
        <v>0</v>
      </c>
      <c r="L119" s="13">
        <v>0</v>
      </c>
      <c r="M119" s="13">
        <v>1</v>
      </c>
      <c r="N119" s="13">
        <v>0</v>
      </c>
      <c r="O119" s="13">
        <v>0</v>
      </c>
      <c r="P119" s="13">
        <v>0</v>
      </c>
      <c r="Q119" s="13">
        <v>1</v>
      </c>
      <c r="R119" s="13">
        <v>0</v>
      </c>
      <c r="S119" s="13">
        <v>0</v>
      </c>
    </row>
    <row r="120" spans="1:19" ht="15" customHeight="1" x14ac:dyDescent="0.35">
      <c r="A120" s="40" t="s">
        <v>87</v>
      </c>
      <c r="B120" s="41">
        <v>2022</v>
      </c>
      <c r="C120" s="42">
        <v>71.84</v>
      </c>
      <c r="D120" s="41" t="s">
        <v>72</v>
      </c>
      <c r="E120" s="43">
        <v>58.81</v>
      </c>
      <c r="F120" s="41" t="s">
        <v>22</v>
      </c>
      <c r="G120" s="43">
        <v>1267.4731200000001</v>
      </c>
      <c r="H120" s="44">
        <v>1.2011369336231399</v>
      </c>
      <c r="I120" s="45">
        <v>4.2744</v>
      </c>
      <c r="J120" s="45">
        <v>4.0743</v>
      </c>
      <c r="K120" s="13">
        <v>0</v>
      </c>
      <c r="L120" s="13">
        <v>0</v>
      </c>
      <c r="M120" s="13">
        <v>1</v>
      </c>
      <c r="N120" s="13">
        <v>0</v>
      </c>
      <c r="O120" s="13">
        <v>0</v>
      </c>
      <c r="P120" s="13">
        <v>0</v>
      </c>
      <c r="Q120" s="13">
        <v>1</v>
      </c>
      <c r="R120" s="13">
        <v>0</v>
      </c>
      <c r="S120" s="13">
        <v>0</v>
      </c>
    </row>
    <row r="121" spans="1:19" ht="15" customHeight="1" x14ac:dyDescent="0.35">
      <c r="A121" s="34" t="s">
        <v>87</v>
      </c>
      <c r="B121" s="35">
        <v>2023</v>
      </c>
      <c r="C121" s="36">
        <v>70.69</v>
      </c>
      <c r="D121" s="35" t="s">
        <v>72</v>
      </c>
      <c r="E121" s="37">
        <v>54.56</v>
      </c>
      <c r="F121" s="35" t="s">
        <v>22</v>
      </c>
      <c r="G121" s="37">
        <v>1157.0539200000001</v>
      </c>
      <c r="H121" s="38">
        <v>1.27231821454284</v>
      </c>
      <c r="I121" s="39">
        <v>4.2583000000000002</v>
      </c>
      <c r="J121" s="39">
        <v>3.9992999999999999</v>
      </c>
      <c r="K121" s="13">
        <v>0</v>
      </c>
      <c r="L121" s="13">
        <v>0</v>
      </c>
      <c r="M121" s="13">
        <v>1</v>
      </c>
      <c r="N121" s="13">
        <v>0</v>
      </c>
      <c r="O121" s="13">
        <v>0</v>
      </c>
      <c r="P121" s="13">
        <v>0</v>
      </c>
      <c r="Q121" s="13">
        <v>1</v>
      </c>
      <c r="R121" s="13">
        <v>0</v>
      </c>
      <c r="S121" s="13">
        <v>0</v>
      </c>
    </row>
    <row r="122" spans="1:19" ht="15" customHeight="1" x14ac:dyDescent="0.35">
      <c r="A122" s="40" t="s">
        <v>88</v>
      </c>
      <c r="B122" s="41">
        <v>2015</v>
      </c>
      <c r="C122" s="42">
        <v>15.59</v>
      </c>
      <c r="D122" s="41" t="s">
        <v>72</v>
      </c>
      <c r="E122" s="43">
        <v>374.23</v>
      </c>
      <c r="F122" s="41" t="s">
        <v>22</v>
      </c>
      <c r="G122" s="43">
        <v>1750.2737099999999</v>
      </c>
      <c r="H122" s="44">
        <v>4.1547850651600403E-2</v>
      </c>
      <c r="I122" s="45">
        <v>2.7465999999999999</v>
      </c>
      <c r="J122" s="45">
        <v>5.9249000000000001</v>
      </c>
      <c r="K122" s="13">
        <v>0</v>
      </c>
      <c r="L122" s="13">
        <v>0</v>
      </c>
      <c r="M122" s="13">
        <v>1</v>
      </c>
      <c r="N122" s="13">
        <v>0</v>
      </c>
      <c r="O122" s="13">
        <v>0</v>
      </c>
      <c r="P122" s="13">
        <v>0</v>
      </c>
      <c r="Q122" s="13">
        <v>1</v>
      </c>
      <c r="R122" s="13">
        <v>0</v>
      </c>
      <c r="S122" s="13">
        <v>1</v>
      </c>
    </row>
    <row r="123" spans="1:19" ht="15" customHeight="1" x14ac:dyDescent="0.35">
      <c r="A123" s="34" t="s">
        <v>88</v>
      </c>
      <c r="B123" s="35">
        <v>2016</v>
      </c>
      <c r="C123" s="36">
        <v>24.56</v>
      </c>
      <c r="D123" s="35" t="s">
        <v>72</v>
      </c>
      <c r="E123" s="37">
        <v>409.88</v>
      </c>
      <c r="F123" s="35" t="s">
        <v>22</v>
      </c>
      <c r="G123" s="37">
        <v>3019.99584</v>
      </c>
      <c r="H123" s="38">
        <v>5.9774143302180699E-2</v>
      </c>
      <c r="I123" s="39">
        <v>3.2010999999999998</v>
      </c>
      <c r="J123" s="39">
        <v>6.0159000000000002</v>
      </c>
      <c r="K123" s="13">
        <v>0</v>
      </c>
      <c r="L123" s="13">
        <v>0</v>
      </c>
      <c r="M123" s="13">
        <v>1</v>
      </c>
      <c r="N123" s="13">
        <v>0</v>
      </c>
      <c r="O123" s="13">
        <v>0</v>
      </c>
      <c r="P123" s="13">
        <v>0</v>
      </c>
      <c r="Q123" s="13">
        <v>1</v>
      </c>
      <c r="R123" s="13">
        <v>0</v>
      </c>
      <c r="S123" s="13">
        <v>0</v>
      </c>
    </row>
    <row r="124" spans="1:19" ht="15" customHeight="1" x14ac:dyDescent="0.35">
      <c r="A124" s="40" t="s">
        <v>88</v>
      </c>
      <c r="B124" s="41">
        <v>2017</v>
      </c>
      <c r="C124" s="42">
        <v>32.61</v>
      </c>
      <c r="D124" s="41" t="s">
        <v>72</v>
      </c>
      <c r="E124" s="43">
        <v>414.62</v>
      </c>
      <c r="F124" s="41" t="s">
        <v>22</v>
      </c>
      <c r="G124" s="43">
        <v>4056.2274600000001</v>
      </c>
      <c r="H124" s="44">
        <v>7.8461094268803197E-2</v>
      </c>
      <c r="I124" s="45">
        <v>3.4845999999999999</v>
      </c>
      <c r="J124" s="45">
        <v>6.0274000000000001</v>
      </c>
      <c r="K124" s="13">
        <v>0</v>
      </c>
      <c r="L124" s="13">
        <v>0</v>
      </c>
      <c r="M124" s="13">
        <v>1</v>
      </c>
      <c r="N124" s="13">
        <v>0</v>
      </c>
      <c r="O124" s="13">
        <v>0</v>
      </c>
      <c r="P124" s="13">
        <v>0</v>
      </c>
      <c r="Q124" s="13">
        <v>1</v>
      </c>
      <c r="R124" s="13">
        <v>0</v>
      </c>
      <c r="S124" s="13">
        <v>0</v>
      </c>
    </row>
    <row r="125" spans="1:19" ht="15" customHeight="1" x14ac:dyDescent="0.35">
      <c r="A125" s="34" t="s">
        <v>88</v>
      </c>
      <c r="B125" s="35">
        <v>2018</v>
      </c>
      <c r="C125" s="36">
        <v>55.3</v>
      </c>
      <c r="D125" s="35" t="s">
        <v>72</v>
      </c>
      <c r="E125" s="37">
        <v>400</v>
      </c>
      <c r="F125" s="35" t="s">
        <v>22</v>
      </c>
      <c r="G125" s="37">
        <v>6636</v>
      </c>
      <c r="H125" s="38">
        <v>0.13790523690773099</v>
      </c>
      <c r="I125" s="39">
        <v>4.0128000000000004</v>
      </c>
      <c r="J125" s="39">
        <v>5.9915000000000003</v>
      </c>
      <c r="K125" s="13">
        <v>0</v>
      </c>
      <c r="L125" s="13">
        <v>0</v>
      </c>
      <c r="M125" s="13">
        <v>1</v>
      </c>
      <c r="N125" s="13">
        <v>0</v>
      </c>
      <c r="O125" s="13">
        <v>0</v>
      </c>
      <c r="P125" s="13">
        <v>0</v>
      </c>
      <c r="Q125" s="13">
        <v>1</v>
      </c>
      <c r="R125" s="13">
        <v>0</v>
      </c>
      <c r="S125" s="13">
        <v>0</v>
      </c>
    </row>
    <row r="126" spans="1:19" ht="15" customHeight="1" x14ac:dyDescent="0.35">
      <c r="A126" s="40" t="s">
        <v>88</v>
      </c>
      <c r="B126" s="41">
        <v>2019</v>
      </c>
      <c r="C126" s="42">
        <v>50.11</v>
      </c>
      <c r="D126" s="41" t="s">
        <v>72</v>
      </c>
      <c r="E126" s="43">
        <v>390.49</v>
      </c>
      <c r="F126" s="41" t="s">
        <v>22</v>
      </c>
      <c r="G126" s="43">
        <v>5870.2361700000001</v>
      </c>
      <c r="H126" s="44">
        <v>0.12799816087256399</v>
      </c>
      <c r="I126" s="45">
        <v>3.9142000000000001</v>
      </c>
      <c r="J126" s="45">
        <v>5.9673999999999996</v>
      </c>
      <c r="K126" s="13">
        <v>0</v>
      </c>
      <c r="L126" s="13">
        <v>0</v>
      </c>
      <c r="M126" s="13">
        <v>1</v>
      </c>
      <c r="N126" s="13">
        <v>0</v>
      </c>
      <c r="O126" s="13">
        <v>0</v>
      </c>
      <c r="P126" s="13">
        <v>0</v>
      </c>
      <c r="Q126" s="13">
        <v>1</v>
      </c>
      <c r="R126" s="13">
        <v>0</v>
      </c>
      <c r="S126" s="13">
        <v>0</v>
      </c>
    </row>
    <row r="127" spans="1:19" ht="15" customHeight="1" x14ac:dyDescent="0.35">
      <c r="A127" s="34" t="s">
        <v>88</v>
      </c>
      <c r="B127" s="35">
        <v>2020</v>
      </c>
      <c r="C127" s="36">
        <v>48.77</v>
      </c>
      <c r="D127" s="35" t="s">
        <v>72</v>
      </c>
      <c r="E127" s="37">
        <v>351.59</v>
      </c>
      <c r="F127" s="35" t="s">
        <v>22</v>
      </c>
      <c r="G127" s="37">
        <v>5144.1132900000002</v>
      </c>
      <c r="H127" s="38">
        <v>0.138319294364559</v>
      </c>
      <c r="I127" s="39">
        <v>3.8871000000000002</v>
      </c>
      <c r="J127" s="39">
        <v>5.8624999999999998</v>
      </c>
      <c r="K127" s="13">
        <v>0</v>
      </c>
      <c r="L127" s="13">
        <v>0</v>
      </c>
      <c r="M127" s="13">
        <v>1</v>
      </c>
      <c r="N127" s="13">
        <v>0</v>
      </c>
      <c r="O127" s="13">
        <v>0</v>
      </c>
      <c r="P127" s="13">
        <v>0</v>
      </c>
      <c r="Q127" s="13">
        <v>1</v>
      </c>
      <c r="R127" s="13">
        <v>0</v>
      </c>
      <c r="S127" s="13">
        <v>0</v>
      </c>
    </row>
    <row r="128" spans="1:19" ht="15" customHeight="1" x14ac:dyDescent="0.35">
      <c r="A128" s="40" t="s">
        <v>88</v>
      </c>
      <c r="B128" s="41">
        <v>2021</v>
      </c>
      <c r="C128" s="42">
        <v>52.39</v>
      </c>
      <c r="D128" s="41" t="s">
        <v>72</v>
      </c>
      <c r="E128" s="43">
        <v>383.4</v>
      </c>
      <c r="F128" s="41" t="s">
        <v>22</v>
      </c>
      <c r="G128" s="43">
        <v>6025.8977999999997</v>
      </c>
      <c r="H128" s="44">
        <v>0.136290322580645</v>
      </c>
      <c r="I128" s="45">
        <v>3.9586999999999999</v>
      </c>
      <c r="J128" s="45">
        <v>5.9490999999999996</v>
      </c>
      <c r="K128" s="13">
        <v>0</v>
      </c>
      <c r="L128" s="13">
        <v>0</v>
      </c>
      <c r="M128" s="13">
        <v>1</v>
      </c>
      <c r="N128" s="13">
        <v>0</v>
      </c>
      <c r="O128" s="13">
        <v>0</v>
      </c>
      <c r="P128" s="13">
        <v>0</v>
      </c>
      <c r="Q128" s="13">
        <v>1</v>
      </c>
      <c r="R128" s="13">
        <v>0</v>
      </c>
      <c r="S128" s="13">
        <v>0</v>
      </c>
    </row>
    <row r="129" spans="1:19" ht="15" customHeight="1" x14ac:dyDescent="0.35">
      <c r="A129" s="34" t="s">
        <v>88</v>
      </c>
      <c r="B129" s="35">
        <v>2022</v>
      </c>
      <c r="C129" s="36">
        <v>49.29</v>
      </c>
      <c r="D129" s="35" t="s">
        <v>72</v>
      </c>
      <c r="E129" s="37">
        <v>370.91</v>
      </c>
      <c r="F129" s="35" t="s">
        <v>22</v>
      </c>
      <c r="G129" s="37">
        <v>5484.64617</v>
      </c>
      <c r="H129" s="38">
        <v>0.13253206420908301</v>
      </c>
      <c r="I129" s="39">
        <v>3.8976999999999999</v>
      </c>
      <c r="J129" s="39">
        <v>5.9160000000000004</v>
      </c>
      <c r="K129" s="13">
        <v>0</v>
      </c>
      <c r="L129" s="13">
        <v>0</v>
      </c>
      <c r="M129" s="13">
        <v>1</v>
      </c>
      <c r="N129" s="13">
        <v>0</v>
      </c>
      <c r="O129" s="13">
        <v>0</v>
      </c>
      <c r="P129" s="13">
        <v>0</v>
      </c>
      <c r="Q129" s="13">
        <v>1</v>
      </c>
      <c r="R129" s="13">
        <v>0</v>
      </c>
      <c r="S129" s="13">
        <v>0</v>
      </c>
    </row>
    <row r="130" spans="1:19" ht="15" customHeight="1" x14ac:dyDescent="0.35">
      <c r="A130" s="40" t="s">
        <v>88</v>
      </c>
      <c r="B130" s="41">
        <v>2023</v>
      </c>
      <c r="C130" s="42">
        <v>48.5</v>
      </c>
      <c r="D130" s="41" t="s">
        <v>72</v>
      </c>
      <c r="E130" s="43">
        <v>347.38</v>
      </c>
      <c r="F130" s="41" t="s">
        <v>22</v>
      </c>
      <c r="G130" s="43">
        <v>5054.3789999999999</v>
      </c>
      <c r="H130" s="44">
        <v>0.13921579884034699</v>
      </c>
      <c r="I130" s="45">
        <v>3.8816000000000002</v>
      </c>
      <c r="J130" s="45">
        <v>5.8503999999999996</v>
      </c>
      <c r="K130" s="13">
        <v>0</v>
      </c>
      <c r="L130" s="13">
        <v>0</v>
      </c>
      <c r="M130" s="13">
        <v>1</v>
      </c>
      <c r="N130" s="13">
        <v>0</v>
      </c>
      <c r="O130" s="13">
        <v>0</v>
      </c>
      <c r="P130" s="13">
        <v>0</v>
      </c>
      <c r="Q130" s="13">
        <v>1</v>
      </c>
      <c r="R130" s="13">
        <v>0</v>
      </c>
      <c r="S130" s="13">
        <v>0</v>
      </c>
    </row>
    <row r="131" spans="1:19" ht="15" customHeight="1" x14ac:dyDescent="0.35">
      <c r="A131" s="34" t="s">
        <v>89</v>
      </c>
      <c r="B131" s="35">
        <v>2017</v>
      </c>
      <c r="C131" s="36">
        <v>5.18</v>
      </c>
      <c r="D131" s="35" t="s">
        <v>71</v>
      </c>
      <c r="E131" s="37">
        <v>11189.72</v>
      </c>
      <c r="F131" s="35" t="s">
        <v>20</v>
      </c>
      <c r="G131" s="37">
        <v>17388.82488</v>
      </c>
      <c r="H131" s="38">
        <v>4.6288353206942902E-4</v>
      </c>
      <c r="I131" s="39">
        <v>1.6448</v>
      </c>
      <c r="J131" s="39">
        <v>9.3228000000000009</v>
      </c>
      <c r="K131" s="13">
        <v>0</v>
      </c>
      <c r="L131" s="13">
        <v>1</v>
      </c>
      <c r="M131" s="13">
        <v>0</v>
      </c>
      <c r="N131" s="13">
        <v>0</v>
      </c>
      <c r="O131" s="13">
        <v>0</v>
      </c>
      <c r="P131" s="13">
        <v>0</v>
      </c>
      <c r="Q131" s="13">
        <v>0</v>
      </c>
      <c r="R131" s="13">
        <v>1</v>
      </c>
      <c r="S131" s="13">
        <v>1</v>
      </c>
    </row>
    <row r="132" spans="1:19" ht="15" customHeight="1" x14ac:dyDescent="0.35">
      <c r="A132" s="40" t="s">
        <v>89</v>
      </c>
      <c r="B132" s="41">
        <v>2018</v>
      </c>
      <c r="C132" s="42">
        <v>3.18</v>
      </c>
      <c r="D132" s="41" t="s">
        <v>71</v>
      </c>
      <c r="E132" s="43">
        <v>11662.12</v>
      </c>
      <c r="F132" s="41" t="s">
        <v>20</v>
      </c>
      <c r="G132" s="43">
        <v>11125.662480000001</v>
      </c>
      <c r="H132" s="44">
        <v>2.7265431548333601E-4</v>
      </c>
      <c r="I132" s="45">
        <v>1.1569</v>
      </c>
      <c r="J132" s="45">
        <v>9.3641000000000005</v>
      </c>
      <c r="K132" s="13">
        <v>0</v>
      </c>
      <c r="L132" s="13">
        <v>1</v>
      </c>
      <c r="M132" s="13">
        <v>0</v>
      </c>
      <c r="N132" s="13">
        <v>0</v>
      </c>
      <c r="O132" s="13">
        <v>0</v>
      </c>
      <c r="P132" s="13">
        <v>0</v>
      </c>
      <c r="Q132" s="13">
        <v>0</v>
      </c>
      <c r="R132" s="13">
        <v>1</v>
      </c>
      <c r="S132" s="13">
        <v>0</v>
      </c>
    </row>
    <row r="133" spans="1:19" ht="15" customHeight="1" x14ac:dyDescent="0.35">
      <c r="A133" s="34" t="s">
        <v>89</v>
      </c>
      <c r="B133" s="35">
        <v>2019</v>
      </c>
      <c r="C133" s="36">
        <v>1.52</v>
      </c>
      <c r="D133" s="35" t="s">
        <v>71</v>
      </c>
      <c r="E133" s="37">
        <v>11915.69</v>
      </c>
      <c r="F133" s="35" t="s">
        <v>20</v>
      </c>
      <c r="G133" s="37">
        <v>5433.5546400000003</v>
      </c>
      <c r="H133" s="38">
        <v>1.2755219779989201E-4</v>
      </c>
      <c r="I133" s="39">
        <v>0.41870000000000002</v>
      </c>
      <c r="J133" s="39">
        <v>9.3856000000000002</v>
      </c>
      <c r="K133" s="13">
        <v>0</v>
      </c>
      <c r="L133" s="13">
        <v>1</v>
      </c>
      <c r="M133" s="13">
        <v>0</v>
      </c>
      <c r="N133" s="13">
        <v>0</v>
      </c>
      <c r="O133" s="13">
        <v>0</v>
      </c>
      <c r="P133" s="13">
        <v>0</v>
      </c>
      <c r="Q133" s="13">
        <v>0</v>
      </c>
      <c r="R133" s="13">
        <v>1</v>
      </c>
      <c r="S133" s="13">
        <v>0</v>
      </c>
    </row>
    <row r="134" spans="1:19" ht="15" customHeight="1" x14ac:dyDescent="0.35">
      <c r="A134" s="40" t="s">
        <v>89</v>
      </c>
      <c r="B134" s="41">
        <v>2020</v>
      </c>
      <c r="C134" s="42">
        <v>1.28</v>
      </c>
      <c r="D134" s="41" t="s">
        <v>71</v>
      </c>
      <c r="E134" s="43">
        <v>12084.55</v>
      </c>
      <c r="F134" s="41" t="s">
        <v>20</v>
      </c>
      <c r="G134" s="43">
        <v>4640.4672</v>
      </c>
      <c r="H134" s="44">
        <v>1.0591160518139399E-4</v>
      </c>
      <c r="I134" s="45">
        <v>0.24690000000000001</v>
      </c>
      <c r="J134" s="45">
        <v>9.3996999999999993</v>
      </c>
      <c r="K134" s="13">
        <v>0</v>
      </c>
      <c r="L134" s="13">
        <v>1</v>
      </c>
      <c r="M134" s="13">
        <v>0</v>
      </c>
      <c r="N134" s="13">
        <v>0</v>
      </c>
      <c r="O134" s="13">
        <v>0</v>
      </c>
      <c r="P134" s="13">
        <v>0</v>
      </c>
      <c r="Q134" s="13">
        <v>0</v>
      </c>
      <c r="R134" s="13">
        <v>1</v>
      </c>
      <c r="S134" s="13">
        <v>0</v>
      </c>
    </row>
    <row r="135" spans="1:19" ht="15" customHeight="1" x14ac:dyDescent="0.35">
      <c r="A135" s="34" t="s">
        <v>89</v>
      </c>
      <c r="B135" s="35">
        <v>2021</v>
      </c>
      <c r="C135" s="36">
        <v>1.25</v>
      </c>
      <c r="D135" s="35" t="s">
        <v>71</v>
      </c>
      <c r="E135" s="37">
        <v>12665.78</v>
      </c>
      <c r="F135" s="35" t="s">
        <v>20</v>
      </c>
      <c r="G135" s="37">
        <v>4749.6674999999996</v>
      </c>
      <c r="H135" s="38">
        <v>9.8683327570226996E-5</v>
      </c>
      <c r="I135" s="39">
        <v>0.22309999999999999</v>
      </c>
      <c r="J135" s="39">
        <v>9.4466999999999999</v>
      </c>
      <c r="K135" s="13">
        <v>0</v>
      </c>
      <c r="L135" s="13">
        <v>1</v>
      </c>
      <c r="M135" s="13">
        <v>0</v>
      </c>
      <c r="N135" s="13">
        <v>0</v>
      </c>
      <c r="O135" s="13">
        <v>0</v>
      </c>
      <c r="P135" s="13">
        <v>0</v>
      </c>
      <c r="Q135" s="13">
        <v>0</v>
      </c>
      <c r="R135" s="13">
        <v>1</v>
      </c>
      <c r="S135" s="13">
        <v>0</v>
      </c>
    </row>
    <row r="136" spans="1:19" ht="15" customHeight="1" x14ac:dyDescent="0.35">
      <c r="A136" s="40" t="s">
        <v>89</v>
      </c>
      <c r="B136" s="41">
        <v>2022</v>
      </c>
      <c r="C136" s="42">
        <v>1.83</v>
      </c>
      <c r="D136" s="41" t="s">
        <v>71</v>
      </c>
      <c r="E136" s="43">
        <v>12651.27</v>
      </c>
      <c r="F136" s="41" t="s">
        <v>20</v>
      </c>
      <c r="G136" s="43">
        <v>6945.5472300000001</v>
      </c>
      <c r="H136" s="44">
        <v>1.4463807680360901E-4</v>
      </c>
      <c r="I136" s="45">
        <v>0.60429999999999995</v>
      </c>
      <c r="J136" s="45">
        <v>9.4454999999999991</v>
      </c>
      <c r="K136" s="13">
        <v>0</v>
      </c>
      <c r="L136" s="13">
        <v>1</v>
      </c>
      <c r="M136" s="13">
        <v>0</v>
      </c>
      <c r="N136" s="13">
        <v>0</v>
      </c>
      <c r="O136" s="13">
        <v>0</v>
      </c>
      <c r="P136" s="13">
        <v>0</v>
      </c>
      <c r="Q136" s="13">
        <v>0</v>
      </c>
      <c r="R136" s="13">
        <v>1</v>
      </c>
      <c r="S136" s="13">
        <v>0</v>
      </c>
    </row>
    <row r="137" spans="1:19" ht="15" customHeight="1" x14ac:dyDescent="0.35">
      <c r="A137" s="34" t="s">
        <v>89</v>
      </c>
      <c r="B137" s="35">
        <v>2023</v>
      </c>
      <c r="C137" s="36">
        <v>4.66</v>
      </c>
      <c r="D137" s="35" t="s">
        <v>71</v>
      </c>
      <c r="E137" s="37">
        <v>13152.05</v>
      </c>
      <c r="F137" s="35" t="s">
        <v>20</v>
      </c>
      <c r="G137" s="37">
        <v>18386.565900000001</v>
      </c>
      <c r="H137" s="38">
        <v>3.5429044974359599E-4</v>
      </c>
      <c r="I137" s="39">
        <v>1.5389999999999999</v>
      </c>
      <c r="J137" s="39">
        <v>9.4842999999999993</v>
      </c>
      <c r="K137" s="13">
        <v>0</v>
      </c>
      <c r="L137" s="13">
        <v>1</v>
      </c>
      <c r="M137" s="13">
        <v>0</v>
      </c>
      <c r="N137" s="13">
        <v>0</v>
      </c>
      <c r="O137" s="13">
        <v>0</v>
      </c>
      <c r="P137" s="13">
        <v>0</v>
      </c>
      <c r="Q137" s="13">
        <v>0</v>
      </c>
      <c r="R137" s="13">
        <v>1</v>
      </c>
      <c r="S137" s="13">
        <v>0</v>
      </c>
    </row>
    <row r="138" spans="1:19" ht="15" customHeight="1" x14ac:dyDescent="0.35">
      <c r="A138" s="40" t="s">
        <v>90</v>
      </c>
      <c r="B138" s="41">
        <v>2021</v>
      </c>
      <c r="C138" s="42">
        <v>29.37</v>
      </c>
      <c r="D138" s="41" t="s">
        <v>71</v>
      </c>
      <c r="E138" s="43">
        <v>741.56</v>
      </c>
      <c r="F138" s="41" t="s">
        <v>22</v>
      </c>
      <c r="G138" s="43">
        <v>6533.8851599999998</v>
      </c>
      <c r="H138" s="44">
        <v>3.9552359405300601E-2</v>
      </c>
      <c r="I138" s="45">
        <v>3.38</v>
      </c>
      <c r="J138" s="45">
        <v>6.6087999999999996</v>
      </c>
      <c r="K138" s="13">
        <v>0</v>
      </c>
      <c r="L138" s="13">
        <v>0</v>
      </c>
      <c r="M138" s="13">
        <v>1</v>
      </c>
      <c r="N138" s="13">
        <v>0</v>
      </c>
      <c r="O138" s="13">
        <v>0</v>
      </c>
      <c r="P138" s="13">
        <v>0</v>
      </c>
      <c r="Q138" s="13">
        <v>0</v>
      </c>
      <c r="R138" s="13">
        <v>1</v>
      </c>
      <c r="S138" s="13">
        <v>1</v>
      </c>
    </row>
    <row r="139" spans="1:19" ht="15" customHeight="1" x14ac:dyDescent="0.35">
      <c r="A139" s="34" t="s">
        <v>90</v>
      </c>
      <c r="B139" s="35">
        <v>2022</v>
      </c>
      <c r="C139" s="36">
        <v>33.159999999999997</v>
      </c>
      <c r="D139" s="35" t="s">
        <v>71</v>
      </c>
      <c r="E139" s="37">
        <v>731.26</v>
      </c>
      <c r="F139" s="35" t="s">
        <v>22</v>
      </c>
      <c r="G139" s="37">
        <v>7274.5744800000002</v>
      </c>
      <c r="H139" s="38">
        <v>4.5284461803184697E-2</v>
      </c>
      <c r="I139" s="39">
        <v>3.5013000000000001</v>
      </c>
      <c r="J139" s="39">
        <v>6.5948000000000002</v>
      </c>
      <c r="K139" s="13">
        <v>0</v>
      </c>
      <c r="L139" s="13">
        <v>0</v>
      </c>
      <c r="M139" s="13">
        <v>1</v>
      </c>
      <c r="N139" s="13">
        <v>0</v>
      </c>
      <c r="O139" s="13">
        <v>0</v>
      </c>
      <c r="P139" s="13">
        <v>0</v>
      </c>
      <c r="Q139" s="13">
        <v>0</v>
      </c>
      <c r="R139" s="13">
        <v>1</v>
      </c>
      <c r="S139" s="13">
        <v>0</v>
      </c>
    </row>
    <row r="140" spans="1:19" ht="15" customHeight="1" x14ac:dyDescent="0.35">
      <c r="A140" s="40" t="s">
        <v>90</v>
      </c>
      <c r="B140" s="41">
        <v>2023</v>
      </c>
      <c r="C140" s="42">
        <v>32.619999999999997</v>
      </c>
      <c r="D140" s="41" t="s">
        <v>71</v>
      </c>
      <c r="E140" s="43">
        <v>668.63</v>
      </c>
      <c r="F140" s="41" t="s">
        <v>22</v>
      </c>
      <c r="G140" s="43">
        <v>6543.2131799999997</v>
      </c>
      <c r="H140" s="44">
        <v>4.8713468631931101E-2</v>
      </c>
      <c r="I140" s="45">
        <v>3.4849000000000001</v>
      </c>
      <c r="J140" s="45">
        <v>6.5052000000000003</v>
      </c>
      <c r="K140" s="13">
        <v>0</v>
      </c>
      <c r="L140" s="13">
        <v>0</v>
      </c>
      <c r="M140" s="13">
        <v>1</v>
      </c>
      <c r="N140" s="13">
        <v>0</v>
      </c>
      <c r="O140" s="13">
        <v>0</v>
      </c>
      <c r="P140" s="13">
        <v>0</v>
      </c>
      <c r="Q140" s="13">
        <v>0</v>
      </c>
      <c r="R140" s="13">
        <v>1</v>
      </c>
      <c r="S140" s="13">
        <v>0</v>
      </c>
    </row>
    <row r="141" spans="1:19" ht="15" customHeight="1" x14ac:dyDescent="0.35">
      <c r="A141" s="34" t="s">
        <v>91</v>
      </c>
      <c r="B141" s="35">
        <v>2015</v>
      </c>
      <c r="C141" s="36">
        <v>5.48</v>
      </c>
      <c r="D141" s="35" t="s">
        <v>71</v>
      </c>
      <c r="E141" s="37">
        <v>11103.35</v>
      </c>
      <c r="F141" s="35" t="s">
        <v>20</v>
      </c>
      <c r="G141" s="37">
        <v>18253.9074</v>
      </c>
      <c r="H141" s="38">
        <v>4.9350029492946498E-4</v>
      </c>
      <c r="I141" s="39">
        <v>1.7011000000000001</v>
      </c>
      <c r="J141" s="39">
        <v>9.3149999999999995</v>
      </c>
      <c r="K141" s="13">
        <v>0</v>
      </c>
      <c r="L141" s="13">
        <v>1</v>
      </c>
      <c r="M141" s="13">
        <v>0</v>
      </c>
      <c r="N141" s="13">
        <v>0</v>
      </c>
      <c r="O141" s="13">
        <v>0</v>
      </c>
      <c r="P141" s="13">
        <v>0</v>
      </c>
      <c r="Q141" s="13">
        <v>0</v>
      </c>
      <c r="R141" s="13">
        <v>1</v>
      </c>
      <c r="S141" s="13">
        <v>1</v>
      </c>
    </row>
    <row r="142" spans="1:19" ht="15" customHeight="1" x14ac:dyDescent="0.35">
      <c r="A142" s="40" t="s">
        <v>91</v>
      </c>
      <c r="B142" s="41">
        <v>2016</v>
      </c>
      <c r="C142" s="42">
        <v>1.32</v>
      </c>
      <c r="D142" s="41" t="s">
        <v>71</v>
      </c>
      <c r="E142" s="43">
        <v>10955.02</v>
      </c>
      <c r="F142" s="41" t="s">
        <v>20</v>
      </c>
      <c r="G142" s="43">
        <v>4338.1879200000003</v>
      </c>
      <c r="H142" s="44">
        <v>1.20481707773443E-4</v>
      </c>
      <c r="I142" s="45">
        <v>0.27760000000000001</v>
      </c>
      <c r="J142" s="45">
        <v>9.3016000000000005</v>
      </c>
      <c r="K142" s="13">
        <v>0</v>
      </c>
      <c r="L142" s="13">
        <v>1</v>
      </c>
      <c r="M142" s="13">
        <v>0</v>
      </c>
      <c r="N142" s="13">
        <v>0</v>
      </c>
      <c r="O142" s="13">
        <v>0</v>
      </c>
      <c r="P142" s="13">
        <v>0</v>
      </c>
      <c r="Q142" s="13">
        <v>0</v>
      </c>
      <c r="R142" s="13">
        <v>1</v>
      </c>
      <c r="S142" s="13">
        <v>0</v>
      </c>
    </row>
    <row r="143" spans="1:19" ht="15" customHeight="1" x14ac:dyDescent="0.35">
      <c r="A143" s="34" t="s">
        <v>91</v>
      </c>
      <c r="B143" s="35">
        <v>2017</v>
      </c>
      <c r="C143" s="36">
        <v>1.88</v>
      </c>
      <c r="D143" s="35" t="s">
        <v>71</v>
      </c>
      <c r="E143" s="37">
        <v>11189.72</v>
      </c>
      <c r="F143" s="35" t="s">
        <v>20</v>
      </c>
      <c r="G143" s="37">
        <v>6311.0020800000002</v>
      </c>
      <c r="H143" s="38">
        <v>1.6799633982442601E-4</v>
      </c>
      <c r="I143" s="39">
        <v>0.63129999999999997</v>
      </c>
      <c r="J143" s="39">
        <v>9.3228000000000009</v>
      </c>
      <c r="K143" s="13">
        <v>0</v>
      </c>
      <c r="L143" s="13">
        <v>1</v>
      </c>
      <c r="M143" s="13">
        <v>0</v>
      </c>
      <c r="N143" s="13">
        <v>0</v>
      </c>
      <c r="O143" s="13">
        <v>0</v>
      </c>
      <c r="P143" s="13">
        <v>0</v>
      </c>
      <c r="Q143" s="13">
        <v>0</v>
      </c>
      <c r="R143" s="13">
        <v>1</v>
      </c>
      <c r="S143" s="13">
        <v>0</v>
      </c>
    </row>
    <row r="144" spans="1:19" ht="15" customHeight="1" x14ac:dyDescent="0.35">
      <c r="A144" s="40" t="s">
        <v>91</v>
      </c>
      <c r="B144" s="41">
        <v>2018</v>
      </c>
      <c r="C144" s="42">
        <v>2.3199999999999998</v>
      </c>
      <c r="D144" s="41" t="s">
        <v>71</v>
      </c>
      <c r="E144" s="43">
        <v>11662.12</v>
      </c>
      <c r="F144" s="41" t="s">
        <v>20</v>
      </c>
      <c r="G144" s="43">
        <v>8116.8355199999996</v>
      </c>
      <c r="H144" s="44">
        <v>1.98917613811742E-4</v>
      </c>
      <c r="I144" s="45">
        <v>0.84160000000000001</v>
      </c>
      <c r="J144" s="45">
        <v>9.3641000000000005</v>
      </c>
      <c r="K144" s="13">
        <v>0</v>
      </c>
      <c r="L144" s="13">
        <v>1</v>
      </c>
      <c r="M144" s="13">
        <v>0</v>
      </c>
      <c r="N144" s="13">
        <v>0</v>
      </c>
      <c r="O144" s="13">
        <v>0</v>
      </c>
      <c r="P144" s="13">
        <v>0</v>
      </c>
      <c r="Q144" s="13">
        <v>0</v>
      </c>
      <c r="R144" s="13">
        <v>1</v>
      </c>
      <c r="S144" s="13">
        <v>0</v>
      </c>
    </row>
    <row r="145" spans="1:19" ht="15" customHeight="1" x14ac:dyDescent="0.35">
      <c r="A145" s="34" t="s">
        <v>91</v>
      </c>
      <c r="B145" s="35">
        <v>2019</v>
      </c>
      <c r="C145" s="36">
        <v>2.92</v>
      </c>
      <c r="D145" s="35" t="s">
        <v>71</v>
      </c>
      <c r="E145" s="37">
        <v>11915.69</v>
      </c>
      <c r="F145" s="35" t="s">
        <v>20</v>
      </c>
      <c r="G145" s="37">
        <v>10438.14444</v>
      </c>
      <c r="H145" s="38">
        <v>2.4503448524716199E-4</v>
      </c>
      <c r="I145" s="39">
        <v>1.0716000000000001</v>
      </c>
      <c r="J145" s="39">
        <v>9.3856000000000002</v>
      </c>
      <c r="K145" s="13">
        <v>0</v>
      </c>
      <c r="L145" s="13">
        <v>1</v>
      </c>
      <c r="M145" s="13">
        <v>0</v>
      </c>
      <c r="N145" s="13">
        <v>0</v>
      </c>
      <c r="O145" s="13">
        <v>0</v>
      </c>
      <c r="P145" s="13">
        <v>0</v>
      </c>
      <c r="Q145" s="13">
        <v>0</v>
      </c>
      <c r="R145" s="13">
        <v>1</v>
      </c>
      <c r="S145" s="13">
        <v>0</v>
      </c>
    </row>
    <row r="146" spans="1:19" ht="15" customHeight="1" x14ac:dyDescent="0.35">
      <c r="A146" s="40" t="s">
        <v>91</v>
      </c>
      <c r="B146" s="41">
        <v>2020</v>
      </c>
      <c r="C146" s="42">
        <v>4.13</v>
      </c>
      <c r="D146" s="41" t="s">
        <v>71</v>
      </c>
      <c r="E146" s="43">
        <v>12084.55</v>
      </c>
      <c r="F146" s="41" t="s">
        <v>20</v>
      </c>
      <c r="G146" s="43">
        <v>14972.757449999999</v>
      </c>
      <c r="H146" s="44">
        <v>3.4173041359309298E-4</v>
      </c>
      <c r="I146" s="45">
        <v>1.4182999999999999</v>
      </c>
      <c r="J146" s="45">
        <v>9.3996999999999993</v>
      </c>
      <c r="K146" s="13">
        <v>0</v>
      </c>
      <c r="L146" s="13">
        <v>1</v>
      </c>
      <c r="M146" s="13">
        <v>0</v>
      </c>
      <c r="N146" s="13">
        <v>0</v>
      </c>
      <c r="O146" s="13">
        <v>0</v>
      </c>
      <c r="P146" s="13">
        <v>0</v>
      </c>
      <c r="Q146" s="13">
        <v>0</v>
      </c>
      <c r="R146" s="13">
        <v>1</v>
      </c>
      <c r="S146" s="13">
        <v>0</v>
      </c>
    </row>
    <row r="147" spans="1:19" ht="15" customHeight="1" x14ac:dyDescent="0.35">
      <c r="A147" s="34" t="s">
        <v>91</v>
      </c>
      <c r="B147" s="35">
        <v>2021</v>
      </c>
      <c r="C147" s="36">
        <v>5.72</v>
      </c>
      <c r="D147" s="35" t="s">
        <v>71</v>
      </c>
      <c r="E147" s="37">
        <v>12665.78</v>
      </c>
      <c r="F147" s="35" t="s">
        <v>20</v>
      </c>
      <c r="G147" s="37">
        <v>21734.478480000002</v>
      </c>
      <c r="H147" s="38">
        <v>4.5157490696135898E-4</v>
      </c>
      <c r="I147" s="39">
        <v>1.744</v>
      </c>
      <c r="J147" s="39">
        <v>9.4466999999999999</v>
      </c>
      <c r="K147" s="13">
        <v>0</v>
      </c>
      <c r="L147" s="13">
        <v>1</v>
      </c>
      <c r="M147" s="13">
        <v>0</v>
      </c>
      <c r="N147" s="13">
        <v>0</v>
      </c>
      <c r="O147" s="13">
        <v>0</v>
      </c>
      <c r="P147" s="13">
        <v>0</v>
      </c>
      <c r="Q147" s="13">
        <v>0</v>
      </c>
      <c r="R147" s="13">
        <v>1</v>
      </c>
      <c r="S147" s="13">
        <v>0</v>
      </c>
    </row>
    <row r="148" spans="1:19" ht="15" customHeight="1" x14ac:dyDescent="0.35">
      <c r="A148" s="40" t="s">
        <v>91</v>
      </c>
      <c r="B148" s="41">
        <v>2022</v>
      </c>
      <c r="C148" s="42">
        <v>12.51</v>
      </c>
      <c r="D148" s="41" t="s">
        <v>71</v>
      </c>
      <c r="E148" s="43">
        <v>12651.27</v>
      </c>
      <c r="F148" s="41" t="s">
        <v>20</v>
      </c>
      <c r="G148" s="43">
        <v>47480.216310000003</v>
      </c>
      <c r="H148" s="44">
        <v>9.8875537749352495E-4</v>
      </c>
      <c r="I148" s="45">
        <v>2.5265</v>
      </c>
      <c r="J148" s="45">
        <v>9.4454999999999991</v>
      </c>
      <c r="K148" s="13">
        <v>0</v>
      </c>
      <c r="L148" s="13">
        <v>1</v>
      </c>
      <c r="M148" s="13">
        <v>0</v>
      </c>
      <c r="N148" s="13">
        <v>0</v>
      </c>
      <c r="O148" s="13">
        <v>0</v>
      </c>
      <c r="P148" s="13">
        <v>0</v>
      </c>
      <c r="Q148" s="13">
        <v>0</v>
      </c>
      <c r="R148" s="13">
        <v>1</v>
      </c>
      <c r="S148" s="13">
        <v>0</v>
      </c>
    </row>
    <row r="149" spans="1:19" ht="15" customHeight="1" x14ac:dyDescent="0.35">
      <c r="A149" s="34" t="s">
        <v>91</v>
      </c>
      <c r="B149" s="35">
        <v>2023</v>
      </c>
      <c r="C149" s="36">
        <v>12.34</v>
      </c>
      <c r="D149" s="35" t="s">
        <v>71</v>
      </c>
      <c r="E149" s="37">
        <v>13152.05</v>
      </c>
      <c r="F149" s="35" t="s">
        <v>20</v>
      </c>
      <c r="G149" s="37">
        <v>48688.8891</v>
      </c>
      <c r="H149" s="38">
        <v>9.38185439878964E-4</v>
      </c>
      <c r="I149" s="39">
        <v>2.5127999999999999</v>
      </c>
      <c r="J149" s="39">
        <v>9.4842999999999993</v>
      </c>
      <c r="K149" s="13">
        <v>0</v>
      </c>
      <c r="L149" s="13">
        <v>1</v>
      </c>
      <c r="M149" s="13">
        <v>0</v>
      </c>
      <c r="N149" s="13">
        <v>0</v>
      </c>
      <c r="O149" s="13">
        <v>0</v>
      </c>
      <c r="P149" s="13">
        <v>0</v>
      </c>
      <c r="Q149" s="13">
        <v>0</v>
      </c>
      <c r="R149" s="13">
        <v>1</v>
      </c>
      <c r="S149" s="13">
        <v>0</v>
      </c>
    </row>
    <row r="150" spans="1:19" ht="15" customHeight="1" x14ac:dyDescent="0.35">
      <c r="A150" s="40" t="s">
        <v>92</v>
      </c>
      <c r="B150" s="41">
        <v>2015</v>
      </c>
      <c r="C150" s="42">
        <v>4.18</v>
      </c>
      <c r="D150" s="41" t="s">
        <v>71</v>
      </c>
      <c r="E150" s="43">
        <v>11103.35</v>
      </c>
      <c r="F150" s="41" t="s">
        <v>20</v>
      </c>
      <c r="G150" s="43">
        <v>13923.600899999999</v>
      </c>
      <c r="H150" s="44">
        <v>3.7642905708123401E-4</v>
      </c>
      <c r="I150" s="45">
        <v>1.4302999999999999</v>
      </c>
      <c r="J150" s="45">
        <v>9.3149999999999995</v>
      </c>
      <c r="K150" s="13">
        <v>0</v>
      </c>
      <c r="L150" s="13">
        <v>1</v>
      </c>
      <c r="M150" s="13">
        <v>0</v>
      </c>
      <c r="N150" s="13">
        <v>0</v>
      </c>
      <c r="O150" s="13">
        <v>0</v>
      </c>
      <c r="P150" s="13">
        <v>0</v>
      </c>
      <c r="Q150" s="13">
        <v>0</v>
      </c>
      <c r="R150" s="13">
        <v>1</v>
      </c>
      <c r="S150" s="13">
        <v>1</v>
      </c>
    </row>
    <row r="151" spans="1:19" ht="15" customHeight="1" x14ac:dyDescent="0.35">
      <c r="A151" s="34" t="s">
        <v>92</v>
      </c>
      <c r="B151" s="35">
        <v>2016</v>
      </c>
      <c r="C151" s="36">
        <v>2.11</v>
      </c>
      <c r="D151" s="35" t="s">
        <v>71</v>
      </c>
      <c r="E151" s="37">
        <v>10955.02</v>
      </c>
      <c r="F151" s="35" t="s">
        <v>20</v>
      </c>
      <c r="G151" s="37">
        <v>6934.5276599999997</v>
      </c>
      <c r="H151" s="38">
        <v>1.9258818439542801E-4</v>
      </c>
      <c r="I151" s="39">
        <v>0.74670000000000003</v>
      </c>
      <c r="J151" s="39">
        <v>9.3016000000000005</v>
      </c>
      <c r="K151" s="13">
        <v>0</v>
      </c>
      <c r="L151" s="13">
        <v>1</v>
      </c>
      <c r="M151" s="13">
        <v>0</v>
      </c>
      <c r="N151" s="13">
        <v>0</v>
      </c>
      <c r="O151" s="13">
        <v>0</v>
      </c>
      <c r="P151" s="13">
        <v>0</v>
      </c>
      <c r="Q151" s="13">
        <v>0</v>
      </c>
      <c r="R151" s="13">
        <v>1</v>
      </c>
      <c r="S151" s="13">
        <v>0</v>
      </c>
    </row>
    <row r="152" spans="1:19" ht="15" customHeight="1" x14ac:dyDescent="0.35">
      <c r="A152" s="40" t="s">
        <v>92</v>
      </c>
      <c r="B152" s="41">
        <v>2017</v>
      </c>
      <c r="C152" s="42">
        <v>1.78</v>
      </c>
      <c r="D152" s="41" t="s">
        <v>71</v>
      </c>
      <c r="E152" s="43">
        <v>11189.72</v>
      </c>
      <c r="F152" s="41" t="s">
        <v>20</v>
      </c>
      <c r="G152" s="43">
        <v>5975.3104800000001</v>
      </c>
      <c r="H152" s="44">
        <v>1.5906036430185001E-4</v>
      </c>
      <c r="I152" s="45">
        <v>0.5766</v>
      </c>
      <c r="J152" s="45">
        <v>9.3228000000000009</v>
      </c>
      <c r="K152" s="13">
        <v>0</v>
      </c>
      <c r="L152" s="13">
        <v>1</v>
      </c>
      <c r="M152" s="13">
        <v>0</v>
      </c>
      <c r="N152" s="13">
        <v>0</v>
      </c>
      <c r="O152" s="13">
        <v>0</v>
      </c>
      <c r="P152" s="13">
        <v>0</v>
      </c>
      <c r="Q152" s="13">
        <v>0</v>
      </c>
      <c r="R152" s="13">
        <v>1</v>
      </c>
      <c r="S152" s="13">
        <v>0</v>
      </c>
    </row>
    <row r="153" spans="1:19" ht="15" customHeight="1" x14ac:dyDescent="0.35">
      <c r="A153" s="34" t="s">
        <v>92</v>
      </c>
      <c r="B153" s="35">
        <v>2018</v>
      </c>
      <c r="C153" s="36">
        <v>2.3199999999999998</v>
      </c>
      <c r="D153" s="35" t="s">
        <v>71</v>
      </c>
      <c r="E153" s="37">
        <v>11662.12</v>
      </c>
      <c r="F153" s="35" t="s">
        <v>20</v>
      </c>
      <c r="G153" s="37">
        <v>8116.8355199999996</v>
      </c>
      <c r="H153" s="38">
        <v>1.98917613811742E-4</v>
      </c>
      <c r="I153" s="39">
        <v>0.84160000000000001</v>
      </c>
      <c r="J153" s="39">
        <v>9.3641000000000005</v>
      </c>
      <c r="K153" s="13">
        <v>0</v>
      </c>
      <c r="L153" s="13">
        <v>1</v>
      </c>
      <c r="M153" s="13">
        <v>0</v>
      </c>
      <c r="N153" s="13">
        <v>0</v>
      </c>
      <c r="O153" s="13">
        <v>0</v>
      </c>
      <c r="P153" s="13">
        <v>0</v>
      </c>
      <c r="Q153" s="13">
        <v>0</v>
      </c>
      <c r="R153" s="13">
        <v>1</v>
      </c>
      <c r="S153" s="13">
        <v>0</v>
      </c>
    </row>
    <row r="154" spans="1:19" ht="15" customHeight="1" x14ac:dyDescent="0.35">
      <c r="A154" s="40" t="s">
        <v>92</v>
      </c>
      <c r="B154" s="41">
        <v>2019</v>
      </c>
      <c r="C154" s="42">
        <v>4.13</v>
      </c>
      <c r="D154" s="41" t="s">
        <v>71</v>
      </c>
      <c r="E154" s="43">
        <v>11915.69</v>
      </c>
      <c r="F154" s="41" t="s">
        <v>20</v>
      </c>
      <c r="G154" s="43">
        <v>14763.53991</v>
      </c>
      <c r="H154" s="44">
        <v>3.4657274796944502E-4</v>
      </c>
      <c r="I154" s="45">
        <v>1.4182999999999999</v>
      </c>
      <c r="J154" s="45">
        <v>9.3856000000000002</v>
      </c>
      <c r="K154" s="13">
        <v>0</v>
      </c>
      <c r="L154" s="13">
        <v>1</v>
      </c>
      <c r="M154" s="13">
        <v>0</v>
      </c>
      <c r="N154" s="13">
        <v>0</v>
      </c>
      <c r="O154" s="13">
        <v>0</v>
      </c>
      <c r="P154" s="13">
        <v>0</v>
      </c>
      <c r="Q154" s="13">
        <v>0</v>
      </c>
      <c r="R154" s="13">
        <v>1</v>
      </c>
      <c r="S154" s="13">
        <v>0</v>
      </c>
    </row>
    <row r="155" spans="1:19" ht="15" customHeight="1" x14ac:dyDescent="0.35">
      <c r="A155" s="34" t="s">
        <v>92</v>
      </c>
      <c r="B155" s="35">
        <v>2020</v>
      </c>
      <c r="C155" s="36">
        <v>3.57</v>
      </c>
      <c r="D155" s="35" t="s">
        <v>71</v>
      </c>
      <c r="E155" s="37">
        <v>12084.55</v>
      </c>
      <c r="F155" s="35" t="s">
        <v>20</v>
      </c>
      <c r="G155" s="37">
        <v>12942.55305</v>
      </c>
      <c r="H155" s="38">
        <v>2.9539408632623298E-4</v>
      </c>
      <c r="I155" s="39">
        <v>1.2726</v>
      </c>
      <c r="J155" s="39">
        <v>9.3996999999999993</v>
      </c>
      <c r="K155" s="13">
        <v>0</v>
      </c>
      <c r="L155" s="13">
        <v>1</v>
      </c>
      <c r="M155" s="13">
        <v>0</v>
      </c>
      <c r="N155" s="13">
        <v>0</v>
      </c>
      <c r="O155" s="13">
        <v>0</v>
      </c>
      <c r="P155" s="13">
        <v>0</v>
      </c>
      <c r="Q155" s="13">
        <v>0</v>
      </c>
      <c r="R155" s="13">
        <v>1</v>
      </c>
      <c r="S155" s="13">
        <v>0</v>
      </c>
    </row>
    <row r="156" spans="1:19" ht="15" customHeight="1" x14ac:dyDescent="0.35">
      <c r="A156" s="40" t="s">
        <v>92</v>
      </c>
      <c r="B156" s="41">
        <v>2021</v>
      </c>
      <c r="C156" s="42">
        <v>4.41</v>
      </c>
      <c r="D156" s="41" t="s">
        <v>71</v>
      </c>
      <c r="E156" s="43">
        <v>12665.78</v>
      </c>
      <c r="F156" s="41" t="s">
        <v>20</v>
      </c>
      <c r="G156" s="43">
        <v>16756.826939999999</v>
      </c>
      <c r="H156" s="44">
        <v>3.48154779667761E-4</v>
      </c>
      <c r="I156" s="45">
        <v>1.4839</v>
      </c>
      <c r="J156" s="45">
        <v>9.4466999999999999</v>
      </c>
      <c r="K156" s="13">
        <v>0</v>
      </c>
      <c r="L156" s="13">
        <v>1</v>
      </c>
      <c r="M156" s="13">
        <v>0</v>
      </c>
      <c r="N156" s="13">
        <v>0</v>
      </c>
      <c r="O156" s="13">
        <v>0</v>
      </c>
      <c r="P156" s="13">
        <v>0</v>
      </c>
      <c r="Q156" s="13">
        <v>0</v>
      </c>
      <c r="R156" s="13">
        <v>1</v>
      </c>
      <c r="S156" s="13">
        <v>0</v>
      </c>
    </row>
    <row r="157" spans="1:19" ht="15" customHeight="1" x14ac:dyDescent="0.35">
      <c r="A157" s="34" t="s">
        <v>92</v>
      </c>
      <c r="B157" s="35">
        <v>2022</v>
      </c>
      <c r="C157" s="36">
        <v>7.24</v>
      </c>
      <c r="D157" s="35" t="s">
        <v>71</v>
      </c>
      <c r="E157" s="37">
        <v>12651.27</v>
      </c>
      <c r="F157" s="35" t="s">
        <v>20</v>
      </c>
      <c r="G157" s="37">
        <v>27478.558440000001</v>
      </c>
      <c r="H157" s="38">
        <v>5.7222933117930604E-4</v>
      </c>
      <c r="I157" s="39">
        <v>1.9796</v>
      </c>
      <c r="J157" s="39">
        <v>9.4454999999999991</v>
      </c>
      <c r="K157" s="13">
        <v>0</v>
      </c>
      <c r="L157" s="13">
        <v>1</v>
      </c>
      <c r="M157" s="13">
        <v>0</v>
      </c>
      <c r="N157" s="13">
        <v>0</v>
      </c>
      <c r="O157" s="13">
        <v>0</v>
      </c>
      <c r="P157" s="13">
        <v>0</v>
      </c>
      <c r="Q157" s="13">
        <v>0</v>
      </c>
      <c r="R157" s="13">
        <v>1</v>
      </c>
      <c r="S157" s="13">
        <v>0</v>
      </c>
    </row>
    <row r="158" spans="1:19" ht="15" customHeight="1" x14ac:dyDescent="0.35">
      <c r="A158" s="40" t="s">
        <v>92</v>
      </c>
      <c r="B158" s="41">
        <v>2023</v>
      </c>
      <c r="C158" s="42">
        <v>6.96</v>
      </c>
      <c r="D158" s="41" t="s">
        <v>71</v>
      </c>
      <c r="E158" s="43">
        <v>13152.05</v>
      </c>
      <c r="F158" s="41" t="s">
        <v>20</v>
      </c>
      <c r="G158" s="43">
        <v>27461.4804</v>
      </c>
      <c r="H158" s="44">
        <v>5.2915483481017704E-4</v>
      </c>
      <c r="I158" s="45">
        <v>1.9401999999999999</v>
      </c>
      <c r="J158" s="45">
        <v>9.4842999999999993</v>
      </c>
      <c r="K158" s="13">
        <v>0</v>
      </c>
      <c r="L158" s="13">
        <v>1</v>
      </c>
      <c r="M158" s="13">
        <v>0</v>
      </c>
      <c r="N158" s="13">
        <v>0</v>
      </c>
      <c r="O158" s="13">
        <v>0</v>
      </c>
      <c r="P158" s="13">
        <v>0</v>
      </c>
      <c r="Q158" s="13">
        <v>0</v>
      </c>
      <c r="R158" s="13">
        <v>1</v>
      </c>
      <c r="S158" s="13">
        <v>0</v>
      </c>
    </row>
    <row r="159" spans="1:19" ht="15" customHeight="1" x14ac:dyDescent="0.35">
      <c r="A159" s="34" t="s">
        <v>93</v>
      </c>
      <c r="B159" s="35">
        <v>2015</v>
      </c>
      <c r="C159" s="36">
        <v>16.600000000000001</v>
      </c>
      <c r="D159" s="35" t="s">
        <v>72</v>
      </c>
      <c r="E159" s="37">
        <v>3.86</v>
      </c>
      <c r="F159" s="35" t="s">
        <v>22</v>
      </c>
      <c r="G159" s="37">
        <v>19.222799999999999</v>
      </c>
      <c r="H159" s="38">
        <v>3.4156378600823101</v>
      </c>
      <c r="I159" s="39">
        <v>2.8094000000000001</v>
      </c>
      <c r="J159" s="39">
        <v>1.3507</v>
      </c>
      <c r="K159" s="13">
        <v>0</v>
      </c>
      <c r="L159" s="13">
        <v>0</v>
      </c>
      <c r="M159" s="13">
        <v>1</v>
      </c>
      <c r="N159" s="13">
        <v>0</v>
      </c>
      <c r="O159" s="13">
        <v>0</v>
      </c>
      <c r="P159" s="13">
        <v>0</v>
      </c>
      <c r="Q159" s="13">
        <v>1</v>
      </c>
      <c r="R159" s="13">
        <v>0</v>
      </c>
      <c r="S159" s="13">
        <v>1</v>
      </c>
    </row>
    <row r="160" spans="1:19" ht="15" customHeight="1" x14ac:dyDescent="0.35">
      <c r="A160" s="40" t="s">
        <v>93</v>
      </c>
      <c r="B160" s="41">
        <v>2016</v>
      </c>
      <c r="C160" s="42">
        <v>19</v>
      </c>
      <c r="D160" s="41" t="s">
        <v>72</v>
      </c>
      <c r="E160" s="43">
        <v>3.45</v>
      </c>
      <c r="F160" s="41" t="s">
        <v>22</v>
      </c>
      <c r="G160" s="43">
        <v>19.664999999999999</v>
      </c>
      <c r="H160" s="44">
        <v>4.2696629213483099</v>
      </c>
      <c r="I160" s="45">
        <v>2.9443999999999999</v>
      </c>
      <c r="J160" s="45">
        <v>1.2383999999999999</v>
      </c>
      <c r="K160" s="13">
        <v>0</v>
      </c>
      <c r="L160" s="13">
        <v>0</v>
      </c>
      <c r="M160" s="13">
        <v>1</v>
      </c>
      <c r="N160" s="13">
        <v>0</v>
      </c>
      <c r="O160" s="13">
        <v>0</v>
      </c>
      <c r="P160" s="13">
        <v>0</v>
      </c>
      <c r="Q160" s="13">
        <v>1</v>
      </c>
      <c r="R160" s="13">
        <v>0</v>
      </c>
      <c r="S160" s="13">
        <v>0</v>
      </c>
    </row>
    <row r="161" spans="1:19" ht="15" customHeight="1" x14ac:dyDescent="0.35">
      <c r="A161" s="34" t="s">
        <v>93</v>
      </c>
      <c r="B161" s="35">
        <v>2017</v>
      </c>
      <c r="C161" s="36">
        <v>21.64</v>
      </c>
      <c r="D161" s="35" t="s">
        <v>72</v>
      </c>
      <c r="E161" s="37">
        <v>3.46</v>
      </c>
      <c r="F161" s="35" t="s">
        <v>22</v>
      </c>
      <c r="G161" s="37">
        <v>22.462319999999998</v>
      </c>
      <c r="H161" s="38">
        <v>4.8520179372197303</v>
      </c>
      <c r="I161" s="39">
        <v>3.0745</v>
      </c>
      <c r="J161" s="39">
        <v>1.2413000000000001</v>
      </c>
      <c r="K161" s="13">
        <v>0</v>
      </c>
      <c r="L161" s="13">
        <v>0</v>
      </c>
      <c r="M161" s="13">
        <v>1</v>
      </c>
      <c r="N161" s="13">
        <v>0</v>
      </c>
      <c r="O161" s="13">
        <v>0</v>
      </c>
      <c r="P161" s="13">
        <v>0</v>
      </c>
      <c r="Q161" s="13">
        <v>1</v>
      </c>
      <c r="R161" s="13">
        <v>0</v>
      </c>
      <c r="S161" s="13">
        <v>0</v>
      </c>
    </row>
    <row r="162" spans="1:19" ht="15" customHeight="1" x14ac:dyDescent="0.35">
      <c r="A162" s="40" t="s">
        <v>93</v>
      </c>
      <c r="B162" s="41">
        <v>2018</v>
      </c>
      <c r="C162" s="42">
        <v>37.479999999999997</v>
      </c>
      <c r="D162" s="41" t="s">
        <v>72</v>
      </c>
      <c r="E162" s="43">
        <v>3.51</v>
      </c>
      <c r="F162" s="41" t="s">
        <v>22</v>
      </c>
      <c r="G162" s="43">
        <v>39.466439999999999</v>
      </c>
      <c r="H162" s="44">
        <v>8.3104212860310405</v>
      </c>
      <c r="I162" s="45">
        <v>3.6238000000000001</v>
      </c>
      <c r="J162" s="45">
        <v>1.2556</v>
      </c>
      <c r="K162" s="13">
        <v>0</v>
      </c>
      <c r="L162" s="13">
        <v>0</v>
      </c>
      <c r="M162" s="13">
        <v>1</v>
      </c>
      <c r="N162" s="13">
        <v>0</v>
      </c>
      <c r="O162" s="13">
        <v>0</v>
      </c>
      <c r="P162" s="13">
        <v>0</v>
      </c>
      <c r="Q162" s="13">
        <v>1</v>
      </c>
      <c r="R162" s="13">
        <v>0</v>
      </c>
      <c r="S162" s="13">
        <v>0</v>
      </c>
    </row>
    <row r="163" spans="1:19" ht="15" customHeight="1" x14ac:dyDescent="0.35">
      <c r="A163" s="34" t="s">
        <v>93</v>
      </c>
      <c r="B163" s="35">
        <v>2019</v>
      </c>
      <c r="C163" s="36">
        <v>36.24</v>
      </c>
      <c r="D163" s="35" t="s">
        <v>72</v>
      </c>
      <c r="E163" s="37">
        <v>3.43</v>
      </c>
      <c r="F163" s="35" t="s">
        <v>22</v>
      </c>
      <c r="G163" s="37">
        <v>37.290959999999998</v>
      </c>
      <c r="H163" s="38">
        <v>8.1805869074492108</v>
      </c>
      <c r="I163" s="39">
        <v>3.5901999999999998</v>
      </c>
      <c r="J163" s="39">
        <v>1.2325999999999999</v>
      </c>
      <c r="K163" s="13">
        <v>0</v>
      </c>
      <c r="L163" s="13">
        <v>0</v>
      </c>
      <c r="M163" s="13">
        <v>1</v>
      </c>
      <c r="N163" s="13">
        <v>0</v>
      </c>
      <c r="O163" s="13">
        <v>0</v>
      </c>
      <c r="P163" s="13">
        <v>0</v>
      </c>
      <c r="Q163" s="13">
        <v>1</v>
      </c>
      <c r="R163" s="13">
        <v>0</v>
      </c>
      <c r="S163" s="13">
        <v>0</v>
      </c>
    </row>
    <row r="164" spans="1:19" ht="15" customHeight="1" x14ac:dyDescent="0.35">
      <c r="A164" s="40" t="s">
        <v>93</v>
      </c>
      <c r="B164" s="41">
        <v>2020</v>
      </c>
      <c r="C164" s="42">
        <v>21.15</v>
      </c>
      <c r="D164" s="41" t="s">
        <v>72</v>
      </c>
      <c r="E164" s="43">
        <v>3.25</v>
      </c>
      <c r="F164" s="41" t="s">
        <v>22</v>
      </c>
      <c r="G164" s="43">
        <v>20.62125</v>
      </c>
      <c r="H164" s="44">
        <v>4.9764705882352898</v>
      </c>
      <c r="I164" s="45">
        <v>3.0516000000000001</v>
      </c>
      <c r="J164" s="45">
        <v>1.1787000000000001</v>
      </c>
      <c r="K164" s="13">
        <v>0</v>
      </c>
      <c r="L164" s="13">
        <v>0</v>
      </c>
      <c r="M164" s="13">
        <v>1</v>
      </c>
      <c r="N164" s="13">
        <v>0</v>
      </c>
      <c r="O164" s="13">
        <v>0</v>
      </c>
      <c r="P164" s="13">
        <v>0</v>
      </c>
      <c r="Q164" s="13">
        <v>1</v>
      </c>
      <c r="R164" s="13">
        <v>0</v>
      </c>
      <c r="S164" s="13">
        <v>0</v>
      </c>
    </row>
    <row r="165" spans="1:19" ht="15" customHeight="1" x14ac:dyDescent="0.35">
      <c r="A165" s="34" t="s">
        <v>93</v>
      </c>
      <c r="B165" s="35">
        <v>2021</v>
      </c>
      <c r="C165" s="36">
        <v>23.7</v>
      </c>
      <c r="D165" s="35" t="s">
        <v>72</v>
      </c>
      <c r="E165" s="37">
        <v>3.35</v>
      </c>
      <c r="F165" s="35" t="s">
        <v>22</v>
      </c>
      <c r="G165" s="37">
        <v>23.8185</v>
      </c>
      <c r="H165" s="38">
        <v>5.4482758620689697</v>
      </c>
      <c r="I165" s="39">
        <v>3.1655000000000002</v>
      </c>
      <c r="J165" s="39">
        <v>1.2090000000000001</v>
      </c>
      <c r="K165" s="13">
        <v>0</v>
      </c>
      <c r="L165" s="13">
        <v>0</v>
      </c>
      <c r="M165" s="13">
        <v>1</v>
      </c>
      <c r="N165" s="13">
        <v>0</v>
      </c>
      <c r="O165" s="13">
        <v>0</v>
      </c>
      <c r="P165" s="13">
        <v>0</v>
      </c>
      <c r="Q165" s="13">
        <v>1</v>
      </c>
      <c r="R165" s="13">
        <v>0</v>
      </c>
      <c r="S165" s="13">
        <v>0</v>
      </c>
    </row>
    <row r="166" spans="1:19" ht="15" customHeight="1" x14ac:dyDescent="0.35">
      <c r="A166" s="40" t="s">
        <v>93</v>
      </c>
      <c r="B166" s="41">
        <v>2022</v>
      </c>
      <c r="C166" s="42">
        <v>24.23</v>
      </c>
      <c r="D166" s="41" t="s">
        <v>72</v>
      </c>
      <c r="E166" s="43">
        <v>3.38</v>
      </c>
      <c r="F166" s="41" t="s">
        <v>22</v>
      </c>
      <c r="G166" s="43">
        <v>24.569220000000001</v>
      </c>
      <c r="H166" s="44">
        <v>5.5319634703196403</v>
      </c>
      <c r="I166" s="45">
        <v>3.1876000000000002</v>
      </c>
      <c r="J166" s="45">
        <v>1.2179</v>
      </c>
      <c r="K166" s="13">
        <v>0</v>
      </c>
      <c r="L166" s="13">
        <v>0</v>
      </c>
      <c r="M166" s="13">
        <v>1</v>
      </c>
      <c r="N166" s="13">
        <v>0</v>
      </c>
      <c r="O166" s="13">
        <v>0</v>
      </c>
      <c r="P166" s="13">
        <v>0</v>
      </c>
      <c r="Q166" s="13">
        <v>1</v>
      </c>
      <c r="R166" s="13">
        <v>0</v>
      </c>
      <c r="S166" s="13">
        <v>0</v>
      </c>
    </row>
    <row r="167" spans="1:19" ht="15" customHeight="1" x14ac:dyDescent="0.35">
      <c r="A167" s="34" t="s">
        <v>93</v>
      </c>
      <c r="B167" s="35">
        <v>2023</v>
      </c>
      <c r="C167" s="36">
        <v>24.15</v>
      </c>
      <c r="D167" s="35" t="s">
        <v>72</v>
      </c>
      <c r="E167" s="37">
        <v>3.35</v>
      </c>
      <c r="F167" s="35" t="s">
        <v>22</v>
      </c>
      <c r="G167" s="37">
        <v>24.27075</v>
      </c>
      <c r="H167" s="38">
        <v>5.55172413793104</v>
      </c>
      <c r="I167" s="39">
        <v>3.1842999999999999</v>
      </c>
      <c r="J167" s="39">
        <v>1.2090000000000001</v>
      </c>
      <c r="K167" s="13">
        <v>0</v>
      </c>
      <c r="L167" s="13">
        <v>0</v>
      </c>
      <c r="M167" s="13">
        <v>1</v>
      </c>
      <c r="N167" s="13">
        <v>0</v>
      </c>
      <c r="O167" s="13">
        <v>0</v>
      </c>
      <c r="P167" s="13">
        <v>0</v>
      </c>
      <c r="Q167" s="13">
        <v>1</v>
      </c>
      <c r="R167" s="13">
        <v>0</v>
      </c>
      <c r="S167" s="13">
        <v>0</v>
      </c>
    </row>
    <row r="168" spans="1:19" ht="15" customHeight="1" x14ac:dyDescent="0.35">
      <c r="A168" s="40" t="s">
        <v>94</v>
      </c>
      <c r="B168" s="41">
        <v>2015</v>
      </c>
      <c r="C168" s="42">
        <v>21.51</v>
      </c>
      <c r="D168" s="41" t="s">
        <v>72</v>
      </c>
      <c r="E168" s="43">
        <v>70.44</v>
      </c>
      <c r="F168" s="41" t="s">
        <v>22</v>
      </c>
      <c r="G168" s="43">
        <v>454.54932000000002</v>
      </c>
      <c r="H168" s="44">
        <v>0.30109182530795098</v>
      </c>
      <c r="I168" s="45">
        <v>3.0684999999999998</v>
      </c>
      <c r="J168" s="45">
        <v>4.2548000000000004</v>
      </c>
      <c r="K168" s="13">
        <v>0</v>
      </c>
      <c r="L168" s="13">
        <v>0</v>
      </c>
      <c r="M168" s="13">
        <v>1</v>
      </c>
      <c r="N168" s="13">
        <v>0</v>
      </c>
      <c r="O168" s="13">
        <v>0</v>
      </c>
      <c r="P168" s="13">
        <v>0</v>
      </c>
      <c r="Q168" s="13">
        <v>1</v>
      </c>
      <c r="R168" s="13">
        <v>0</v>
      </c>
      <c r="S168" s="13">
        <v>1</v>
      </c>
    </row>
    <row r="169" spans="1:19" ht="15" customHeight="1" x14ac:dyDescent="0.35">
      <c r="A169" s="34" t="s">
        <v>94</v>
      </c>
      <c r="B169" s="35">
        <v>2016</v>
      </c>
      <c r="C169" s="36">
        <v>22.32</v>
      </c>
      <c r="D169" s="35" t="s">
        <v>72</v>
      </c>
      <c r="E169" s="37">
        <v>74.42</v>
      </c>
      <c r="F169" s="35" t="s">
        <v>22</v>
      </c>
      <c r="G169" s="37">
        <v>498.31632000000002</v>
      </c>
      <c r="H169" s="38">
        <v>0.29594272076372302</v>
      </c>
      <c r="I169" s="39">
        <v>3.1055000000000001</v>
      </c>
      <c r="J169" s="39">
        <v>4.3097000000000003</v>
      </c>
      <c r="K169" s="13">
        <v>0</v>
      </c>
      <c r="L169" s="13">
        <v>0</v>
      </c>
      <c r="M169" s="13">
        <v>1</v>
      </c>
      <c r="N169" s="13">
        <v>0</v>
      </c>
      <c r="O169" s="13">
        <v>0</v>
      </c>
      <c r="P169" s="13">
        <v>0</v>
      </c>
      <c r="Q169" s="13">
        <v>1</v>
      </c>
      <c r="R169" s="13">
        <v>0</v>
      </c>
      <c r="S169" s="13">
        <v>0</v>
      </c>
    </row>
    <row r="170" spans="1:19" ht="15" customHeight="1" x14ac:dyDescent="0.35">
      <c r="A170" s="40" t="s">
        <v>94</v>
      </c>
      <c r="B170" s="41">
        <v>2017</v>
      </c>
      <c r="C170" s="42">
        <v>21.38</v>
      </c>
      <c r="D170" s="41" t="s">
        <v>72</v>
      </c>
      <c r="E170" s="43">
        <v>73.540000000000006</v>
      </c>
      <c r="F170" s="41" t="s">
        <v>22</v>
      </c>
      <c r="G170" s="43">
        <v>471.68556000000001</v>
      </c>
      <c r="H170" s="44">
        <v>0.28682586530721799</v>
      </c>
      <c r="I170" s="45">
        <v>3.0625</v>
      </c>
      <c r="J170" s="45">
        <v>4.2977999999999996</v>
      </c>
      <c r="K170" s="13">
        <v>0</v>
      </c>
      <c r="L170" s="13">
        <v>0</v>
      </c>
      <c r="M170" s="13">
        <v>1</v>
      </c>
      <c r="N170" s="13">
        <v>0</v>
      </c>
      <c r="O170" s="13">
        <v>0</v>
      </c>
      <c r="P170" s="13">
        <v>0</v>
      </c>
      <c r="Q170" s="13">
        <v>1</v>
      </c>
      <c r="R170" s="13">
        <v>0</v>
      </c>
      <c r="S170" s="13">
        <v>0</v>
      </c>
    </row>
    <row r="171" spans="1:19" ht="15" customHeight="1" x14ac:dyDescent="0.35">
      <c r="A171" s="34" t="s">
        <v>94</v>
      </c>
      <c r="B171" s="35">
        <v>2018</v>
      </c>
      <c r="C171" s="36">
        <v>24.8</v>
      </c>
      <c r="D171" s="35" t="s">
        <v>72</v>
      </c>
      <c r="E171" s="37">
        <v>70.739999999999995</v>
      </c>
      <c r="F171" s="35" t="s">
        <v>22</v>
      </c>
      <c r="G171" s="37">
        <v>526.30560000000003</v>
      </c>
      <c r="H171" s="38">
        <v>0.34569277948146099</v>
      </c>
      <c r="I171" s="39">
        <v>3.2107999999999999</v>
      </c>
      <c r="J171" s="39">
        <v>4.2590000000000003</v>
      </c>
      <c r="K171" s="13">
        <v>0</v>
      </c>
      <c r="L171" s="13">
        <v>0</v>
      </c>
      <c r="M171" s="13">
        <v>1</v>
      </c>
      <c r="N171" s="13">
        <v>0</v>
      </c>
      <c r="O171" s="13">
        <v>0</v>
      </c>
      <c r="P171" s="13">
        <v>0</v>
      </c>
      <c r="Q171" s="13">
        <v>1</v>
      </c>
      <c r="R171" s="13">
        <v>0</v>
      </c>
      <c r="S171" s="13">
        <v>0</v>
      </c>
    </row>
    <row r="172" spans="1:19" ht="15" customHeight="1" x14ac:dyDescent="0.35">
      <c r="A172" s="40" t="s">
        <v>94</v>
      </c>
      <c r="B172" s="41">
        <v>2019</v>
      </c>
      <c r="C172" s="42">
        <v>22.47</v>
      </c>
      <c r="D172" s="41" t="s">
        <v>72</v>
      </c>
      <c r="E172" s="43">
        <v>68.77</v>
      </c>
      <c r="F172" s="41" t="s">
        <v>22</v>
      </c>
      <c r="G172" s="43">
        <v>463.57857000000001</v>
      </c>
      <c r="H172" s="44">
        <v>0.32205819119965601</v>
      </c>
      <c r="I172" s="45">
        <v>3.1122000000000001</v>
      </c>
      <c r="J172" s="45">
        <v>4.2308000000000003</v>
      </c>
      <c r="K172" s="13">
        <v>0</v>
      </c>
      <c r="L172" s="13">
        <v>0</v>
      </c>
      <c r="M172" s="13">
        <v>1</v>
      </c>
      <c r="N172" s="13">
        <v>0</v>
      </c>
      <c r="O172" s="13">
        <v>0</v>
      </c>
      <c r="P172" s="13">
        <v>0</v>
      </c>
      <c r="Q172" s="13">
        <v>1</v>
      </c>
      <c r="R172" s="13">
        <v>0</v>
      </c>
      <c r="S172" s="13">
        <v>0</v>
      </c>
    </row>
    <row r="173" spans="1:19" ht="15" customHeight="1" x14ac:dyDescent="0.35">
      <c r="A173" s="34" t="s">
        <v>94</v>
      </c>
      <c r="B173" s="35">
        <v>2020</v>
      </c>
      <c r="C173" s="36">
        <v>28.43</v>
      </c>
      <c r="D173" s="35" t="s">
        <v>72</v>
      </c>
      <c r="E173" s="37">
        <v>66.59</v>
      </c>
      <c r="F173" s="35" t="s">
        <v>22</v>
      </c>
      <c r="G173" s="37">
        <v>567.94610999999998</v>
      </c>
      <c r="H173" s="38">
        <v>0.42062435271489901</v>
      </c>
      <c r="I173" s="39">
        <v>3.3473999999999999</v>
      </c>
      <c r="J173" s="39">
        <v>4.1985999999999999</v>
      </c>
      <c r="K173" s="13">
        <v>0</v>
      </c>
      <c r="L173" s="13">
        <v>0</v>
      </c>
      <c r="M173" s="13">
        <v>1</v>
      </c>
      <c r="N173" s="13">
        <v>0</v>
      </c>
      <c r="O173" s="13">
        <v>0</v>
      </c>
      <c r="P173" s="13">
        <v>0</v>
      </c>
      <c r="Q173" s="13">
        <v>1</v>
      </c>
      <c r="R173" s="13">
        <v>0</v>
      </c>
      <c r="S173" s="13">
        <v>0</v>
      </c>
    </row>
    <row r="174" spans="1:19" ht="15" customHeight="1" x14ac:dyDescent="0.35">
      <c r="A174" s="40" t="s">
        <v>94</v>
      </c>
      <c r="B174" s="41">
        <v>2021</v>
      </c>
      <c r="C174" s="42">
        <v>39.35</v>
      </c>
      <c r="D174" s="41" t="s">
        <v>72</v>
      </c>
      <c r="E174" s="43">
        <v>73.319999999999993</v>
      </c>
      <c r="F174" s="41" t="s">
        <v>22</v>
      </c>
      <c r="G174" s="43">
        <v>865.54259999999999</v>
      </c>
      <c r="H174" s="44">
        <v>0.52946716899892399</v>
      </c>
      <c r="I174" s="45">
        <v>3.6724999999999999</v>
      </c>
      <c r="J174" s="45">
        <v>4.2948000000000004</v>
      </c>
      <c r="K174" s="13">
        <v>0</v>
      </c>
      <c r="L174" s="13">
        <v>0</v>
      </c>
      <c r="M174" s="13">
        <v>1</v>
      </c>
      <c r="N174" s="13">
        <v>0</v>
      </c>
      <c r="O174" s="13">
        <v>0</v>
      </c>
      <c r="P174" s="13">
        <v>0</v>
      </c>
      <c r="Q174" s="13">
        <v>1</v>
      </c>
      <c r="R174" s="13">
        <v>0</v>
      </c>
      <c r="S174" s="13">
        <v>0</v>
      </c>
    </row>
    <row r="175" spans="1:19" ht="15" customHeight="1" x14ac:dyDescent="0.35">
      <c r="A175" s="34" t="s">
        <v>94</v>
      </c>
      <c r="B175" s="35">
        <v>2022</v>
      </c>
      <c r="C175" s="36">
        <v>45.31</v>
      </c>
      <c r="D175" s="35" t="s">
        <v>72</v>
      </c>
      <c r="E175" s="37">
        <v>71.92</v>
      </c>
      <c r="F175" s="35" t="s">
        <v>22</v>
      </c>
      <c r="G175" s="37">
        <v>977.60856000000001</v>
      </c>
      <c r="H175" s="38">
        <v>0.621365880416895</v>
      </c>
      <c r="I175" s="39">
        <v>3.8134999999999999</v>
      </c>
      <c r="J175" s="39">
        <v>4.2755999999999998</v>
      </c>
      <c r="K175" s="13">
        <v>0</v>
      </c>
      <c r="L175" s="13">
        <v>0</v>
      </c>
      <c r="M175" s="13">
        <v>1</v>
      </c>
      <c r="N175" s="13">
        <v>0</v>
      </c>
      <c r="O175" s="13">
        <v>0</v>
      </c>
      <c r="P175" s="13">
        <v>0</v>
      </c>
      <c r="Q175" s="13">
        <v>1</v>
      </c>
      <c r="R175" s="13">
        <v>0</v>
      </c>
      <c r="S175" s="13">
        <v>0</v>
      </c>
    </row>
    <row r="176" spans="1:19" ht="15" customHeight="1" x14ac:dyDescent="0.35">
      <c r="A176" s="40" t="s">
        <v>94</v>
      </c>
      <c r="B176" s="41">
        <v>2023</v>
      </c>
      <c r="C176" s="42">
        <v>52.74</v>
      </c>
      <c r="D176" s="41" t="s">
        <v>72</v>
      </c>
      <c r="E176" s="43">
        <v>68.47</v>
      </c>
      <c r="F176" s="41" t="s">
        <v>22</v>
      </c>
      <c r="G176" s="43">
        <v>1083.3323399999999</v>
      </c>
      <c r="H176" s="44">
        <v>0.75917662300273503</v>
      </c>
      <c r="I176" s="45">
        <v>3.9653999999999998</v>
      </c>
      <c r="J176" s="45">
        <v>4.2263999999999999</v>
      </c>
      <c r="K176" s="13">
        <v>0</v>
      </c>
      <c r="L176" s="13">
        <v>0</v>
      </c>
      <c r="M176" s="13">
        <v>1</v>
      </c>
      <c r="N176" s="13">
        <v>0</v>
      </c>
      <c r="O176" s="13">
        <v>0</v>
      </c>
      <c r="P176" s="13">
        <v>0</v>
      </c>
      <c r="Q176" s="13">
        <v>1</v>
      </c>
      <c r="R176" s="13">
        <v>0</v>
      </c>
      <c r="S176" s="13">
        <v>0</v>
      </c>
    </row>
    <row r="177" spans="1:19" ht="15" customHeight="1" x14ac:dyDescent="0.35">
      <c r="A177" s="34" t="s">
        <v>95</v>
      </c>
      <c r="B177" s="35">
        <v>2015</v>
      </c>
      <c r="C177" s="36">
        <v>1.59</v>
      </c>
      <c r="D177" s="35" t="s">
        <v>72</v>
      </c>
      <c r="E177" s="37">
        <v>1192.92</v>
      </c>
      <c r="F177" s="35" t="s">
        <v>20</v>
      </c>
      <c r="G177" s="37">
        <v>569.02283999999997</v>
      </c>
      <c r="H177" s="38">
        <v>1.3317475207719101E-3</v>
      </c>
      <c r="I177" s="39">
        <v>0.4637</v>
      </c>
      <c r="J177" s="39">
        <v>7.0842000000000001</v>
      </c>
      <c r="K177" s="13">
        <v>0</v>
      </c>
      <c r="L177" s="13">
        <v>1</v>
      </c>
      <c r="M177" s="13">
        <v>0</v>
      </c>
      <c r="N177" s="13">
        <v>0</v>
      </c>
      <c r="O177" s="13">
        <v>0</v>
      </c>
      <c r="P177" s="13">
        <v>0</v>
      </c>
      <c r="Q177" s="13">
        <v>1</v>
      </c>
      <c r="R177" s="13">
        <v>0</v>
      </c>
      <c r="S177" s="13">
        <v>1</v>
      </c>
    </row>
    <row r="178" spans="1:19" ht="15" customHeight="1" x14ac:dyDescent="0.35">
      <c r="A178" s="40" t="s">
        <v>95</v>
      </c>
      <c r="B178" s="41">
        <v>2016</v>
      </c>
      <c r="C178" s="42">
        <v>2.82</v>
      </c>
      <c r="D178" s="41" t="s">
        <v>72</v>
      </c>
      <c r="E178" s="43">
        <v>1194.45</v>
      </c>
      <c r="F178" s="41" t="s">
        <v>20</v>
      </c>
      <c r="G178" s="43">
        <v>1010.5047</v>
      </c>
      <c r="H178" s="44">
        <v>2.3589443305868101E-3</v>
      </c>
      <c r="I178" s="45">
        <v>1.0367</v>
      </c>
      <c r="J178" s="45">
        <v>7.0853999999999999</v>
      </c>
      <c r="K178" s="13">
        <v>0</v>
      </c>
      <c r="L178" s="13">
        <v>1</v>
      </c>
      <c r="M178" s="13">
        <v>0</v>
      </c>
      <c r="N178" s="13">
        <v>0</v>
      </c>
      <c r="O178" s="13">
        <v>0</v>
      </c>
      <c r="P178" s="13">
        <v>0</v>
      </c>
      <c r="Q178" s="13">
        <v>1</v>
      </c>
      <c r="R178" s="13">
        <v>0</v>
      </c>
      <c r="S178" s="13">
        <v>0</v>
      </c>
    </row>
    <row r="179" spans="1:19" ht="15" customHeight="1" x14ac:dyDescent="0.35">
      <c r="A179" s="34" t="s">
        <v>95</v>
      </c>
      <c r="B179" s="35">
        <v>2017</v>
      </c>
      <c r="C179" s="36">
        <v>2.58</v>
      </c>
      <c r="D179" s="35" t="s">
        <v>72</v>
      </c>
      <c r="E179" s="37">
        <v>1182.19</v>
      </c>
      <c r="F179" s="35" t="s">
        <v>20</v>
      </c>
      <c r="G179" s="37">
        <v>915.01505999999995</v>
      </c>
      <c r="H179" s="38">
        <v>2.1805458125913799E-3</v>
      </c>
      <c r="I179" s="39">
        <v>0.94779999999999998</v>
      </c>
      <c r="J179" s="39">
        <v>7.0750999999999999</v>
      </c>
      <c r="K179" s="13">
        <v>0</v>
      </c>
      <c r="L179" s="13">
        <v>1</v>
      </c>
      <c r="M179" s="13">
        <v>0</v>
      </c>
      <c r="N179" s="13">
        <v>0</v>
      </c>
      <c r="O179" s="13">
        <v>0</v>
      </c>
      <c r="P179" s="13">
        <v>0</v>
      </c>
      <c r="Q179" s="13">
        <v>1</v>
      </c>
      <c r="R179" s="13">
        <v>0</v>
      </c>
      <c r="S179" s="13">
        <v>0</v>
      </c>
    </row>
    <row r="180" spans="1:19" ht="15" customHeight="1" x14ac:dyDescent="0.35">
      <c r="A180" s="40" t="s">
        <v>95</v>
      </c>
      <c r="B180" s="41">
        <v>2018</v>
      </c>
      <c r="C180" s="42">
        <v>2.74</v>
      </c>
      <c r="D180" s="41" t="s">
        <v>72</v>
      </c>
      <c r="E180" s="43">
        <v>1143.5999999999999</v>
      </c>
      <c r="F180" s="41" t="s">
        <v>20</v>
      </c>
      <c r="G180" s="43">
        <v>940.03920000000005</v>
      </c>
      <c r="H180" s="44">
        <v>2.39384937969596E-3</v>
      </c>
      <c r="I180" s="45">
        <v>1.008</v>
      </c>
      <c r="J180" s="45">
        <v>7.0419</v>
      </c>
      <c r="K180" s="13">
        <v>0</v>
      </c>
      <c r="L180" s="13">
        <v>1</v>
      </c>
      <c r="M180" s="13">
        <v>0</v>
      </c>
      <c r="N180" s="13">
        <v>0</v>
      </c>
      <c r="O180" s="13">
        <v>0</v>
      </c>
      <c r="P180" s="13">
        <v>0</v>
      </c>
      <c r="Q180" s="13">
        <v>1</v>
      </c>
      <c r="R180" s="13">
        <v>0</v>
      </c>
      <c r="S180" s="13">
        <v>0</v>
      </c>
    </row>
    <row r="181" spans="1:19" ht="15" customHeight="1" x14ac:dyDescent="0.35">
      <c r="A181" s="34" t="s">
        <v>95</v>
      </c>
      <c r="B181" s="35">
        <v>2019</v>
      </c>
      <c r="C181" s="36">
        <v>2.6</v>
      </c>
      <c r="D181" s="35" t="s">
        <v>72</v>
      </c>
      <c r="E181" s="37">
        <v>1108.04</v>
      </c>
      <c r="F181" s="35" t="s">
        <v>20</v>
      </c>
      <c r="G181" s="37">
        <v>864.27120000000002</v>
      </c>
      <c r="H181" s="38">
        <v>2.3443699055038601E-3</v>
      </c>
      <c r="I181" s="39">
        <v>0.95550000000000002</v>
      </c>
      <c r="J181" s="39">
        <v>7.0103</v>
      </c>
      <c r="K181" s="13">
        <v>0</v>
      </c>
      <c r="L181" s="13">
        <v>1</v>
      </c>
      <c r="M181" s="13">
        <v>0</v>
      </c>
      <c r="N181" s="13">
        <v>0</v>
      </c>
      <c r="O181" s="13">
        <v>0</v>
      </c>
      <c r="P181" s="13">
        <v>0</v>
      </c>
      <c r="Q181" s="13">
        <v>1</v>
      </c>
      <c r="R181" s="13">
        <v>0</v>
      </c>
      <c r="S181" s="13">
        <v>0</v>
      </c>
    </row>
    <row r="182" spans="1:19" ht="15" customHeight="1" x14ac:dyDescent="0.35">
      <c r="A182" s="40" t="s">
        <v>95</v>
      </c>
      <c r="B182" s="41">
        <v>2020</v>
      </c>
      <c r="C182" s="42">
        <v>2.69</v>
      </c>
      <c r="D182" s="41" t="s">
        <v>72</v>
      </c>
      <c r="E182" s="43">
        <v>1051.6400000000001</v>
      </c>
      <c r="F182" s="41" t="s">
        <v>20</v>
      </c>
      <c r="G182" s="43">
        <v>848.67348000000004</v>
      </c>
      <c r="H182" s="44">
        <v>2.5554795561635499E-3</v>
      </c>
      <c r="I182" s="45">
        <v>0.98950000000000005</v>
      </c>
      <c r="J182" s="45">
        <v>6.9581</v>
      </c>
      <c r="K182" s="13">
        <v>0</v>
      </c>
      <c r="L182" s="13">
        <v>1</v>
      </c>
      <c r="M182" s="13">
        <v>0</v>
      </c>
      <c r="N182" s="13">
        <v>0</v>
      </c>
      <c r="O182" s="13">
        <v>0</v>
      </c>
      <c r="P182" s="13">
        <v>0</v>
      </c>
      <c r="Q182" s="13">
        <v>1</v>
      </c>
      <c r="R182" s="13">
        <v>0</v>
      </c>
      <c r="S182" s="13">
        <v>0</v>
      </c>
    </row>
    <row r="183" spans="1:19" ht="15" customHeight="1" x14ac:dyDescent="0.35">
      <c r="A183" s="34" t="s">
        <v>95</v>
      </c>
      <c r="B183" s="35">
        <v>2021</v>
      </c>
      <c r="C183" s="36">
        <v>2.61</v>
      </c>
      <c r="D183" s="35" t="s">
        <v>72</v>
      </c>
      <c r="E183" s="37">
        <v>1103.6300000000001</v>
      </c>
      <c r="F183" s="35" t="s">
        <v>20</v>
      </c>
      <c r="G183" s="37">
        <v>864.14229</v>
      </c>
      <c r="H183" s="38">
        <v>2.3627821080361802E-3</v>
      </c>
      <c r="I183" s="39">
        <v>0.95940000000000003</v>
      </c>
      <c r="J183" s="39">
        <v>7.0064000000000002</v>
      </c>
      <c r="K183" s="13">
        <v>0</v>
      </c>
      <c r="L183" s="13">
        <v>1</v>
      </c>
      <c r="M183" s="13">
        <v>0</v>
      </c>
      <c r="N183" s="13">
        <v>0</v>
      </c>
      <c r="O183" s="13">
        <v>0</v>
      </c>
      <c r="P183" s="13">
        <v>0</v>
      </c>
      <c r="Q183" s="13">
        <v>1</v>
      </c>
      <c r="R183" s="13">
        <v>0</v>
      </c>
      <c r="S183" s="13">
        <v>0</v>
      </c>
    </row>
    <row r="184" spans="1:19" ht="15" customHeight="1" x14ac:dyDescent="0.35">
      <c r="A184" s="40" t="s">
        <v>95</v>
      </c>
      <c r="B184" s="41">
        <v>2022</v>
      </c>
      <c r="C184" s="42">
        <v>2.36</v>
      </c>
      <c r="D184" s="41" t="s">
        <v>72</v>
      </c>
      <c r="E184" s="43">
        <v>1078.93</v>
      </c>
      <c r="F184" s="41" t="s">
        <v>20</v>
      </c>
      <c r="G184" s="43">
        <v>763.88243999999997</v>
      </c>
      <c r="H184" s="44">
        <v>2.1853268267387699E-3</v>
      </c>
      <c r="I184" s="45">
        <v>0.85870000000000002</v>
      </c>
      <c r="J184" s="45">
        <v>6.9836999999999998</v>
      </c>
      <c r="K184" s="13">
        <v>0</v>
      </c>
      <c r="L184" s="13">
        <v>1</v>
      </c>
      <c r="M184" s="13">
        <v>0</v>
      </c>
      <c r="N184" s="13">
        <v>0</v>
      </c>
      <c r="O184" s="13">
        <v>0</v>
      </c>
      <c r="P184" s="13">
        <v>0</v>
      </c>
      <c r="Q184" s="13">
        <v>1</v>
      </c>
      <c r="R184" s="13">
        <v>0</v>
      </c>
      <c r="S184" s="13">
        <v>0</v>
      </c>
    </row>
    <row r="185" spans="1:19" ht="15" customHeight="1" x14ac:dyDescent="0.35">
      <c r="A185" s="34" t="s">
        <v>95</v>
      </c>
      <c r="B185" s="35">
        <v>2023</v>
      </c>
      <c r="C185" s="36">
        <v>2.17</v>
      </c>
      <c r="D185" s="35" t="s">
        <v>72</v>
      </c>
      <c r="E185" s="37">
        <v>1034.23</v>
      </c>
      <c r="F185" s="35" t="s">
        <v>20</v>
      </c>
      <c r="G185" s="37">
        <v>673.28372999999999</v>
      </c>
      <c r="H185" s="38">
        <v>2.0961525458110799E-3</v>
      </c>
      <c r="I185" s="39">
        <v>0.77470000000000006</v>
      </c>
      <c r="J185" s="39">
        <v>6.9413999999999998</v>
      </c>
      <c r="K185" s="13">
        <v>0</v>
      </c>
      <c r="L185" s="13">
        <v>1</v>
      </c>
      <c r="M185" s="13">
        <v>0</v>
      </c>
      <c r="N185" s="13">
        <v>0</v>
      </c>
      <c r="O185" s="13">
        <v>0</v>
      </c>
      <c r="P185" s="13">
        <v>0</v>
      </c>
      <c r="Q185" s="13">
        <v>1</v>
      </c>
      <c r="R185" s="13">
        <v>0</v>
      </c>
      <c r="S185" s="13">
        <v>0</v>
      </c>
    </row>
    <row r="186" spans="1:19" ht="15" customHeight="1" x14ac:dyDescent="0.35">
      <c r="A186" s="40" t="s">
        <v>96</v>
      </c>
      <c r="B186" s="41">
        <v>2015</v>
      </c>
      <c r="C186" s="42">
        <v>2.04</v>
      </c>
      <c r="D186" s="41" t="s">
        <v>71</v>
      </c>
      <c r="E186" s="43">
        <v>262.7</v>
      </c>
      <c r="F186" s="41" t="s">
        <v>20</v>
      </c>
      <c r="G186" s="43">
        <v>160.7724</v>
      </c>
      <c r="H186" s="44">
        <v>7.7360637087599601E-3</v>
      </c>
      <c r="I186" s="45">
        <v>0.71289999999999998</v>
      </c>
      <c r="J186" s="45">
        <v>5.5709999999999997</v>
      </c>
      <c r="K186" s="13">
        <v>0</v>
      </c>
      <c r="L186" s="13">
        <v>1</v>
      </c>
      <c r="M186" s="13">
        <v>0</v>
      </c>
      <c r="N186" s="13">
        <v>0</v>
      </c>
      <c r="O186" s="13">
        <v>0</v>
      </c>
      <c r="P186" s="13">
        <v>0</v>
      </c>
      <c r="Q186" s="13">
        <v>0</v>
      </c>
      <c r="R186" s="13">
        <v>1</v>
      </c>
      <c r="S186" s="13">
        <v>1</v>
      </c>
    </row>
    <row r="187" spans="1:19" ht="15" customHeight="1" x14ac:dyDescent="0.35">
      <c r="A187" s="34" t="s">
        <v>96</v>
      </c>
      <c r="B187" s="35">
        <v>2020</v>
      </c>
      <c r="C187" s="36">
        <v>1.1100000000000001</v>
      </c>
      <c r="D187" s="35" t="s">
        <v>71</v>
      </c>
      <c r="E187" s="37">
        <v>291.93</v>
      </c>
      <c r="F187" s="35" t="s">
        <v>20</v>
      </c>
      <c r="G187" s="37">
        <v>97.212689999999995</v>
      </c>
      <c r="H187" s="38">
        <v>3.78930119823849E-3</v>
      </c>
      <c r="I187" s="39">
        <v>0.10440000000000001</v>
      </c>
      <c r="J187" s="39">
        <v>5.6764999999999999</v>
      </c>
      <c r="K187" s="13">
        <v>0</v>
      </c>
      <c r="L187" s="13">
        <v>1</v>
      </c>
      <c r="M187" s="13">
        <v>0</v>
      </c>
      <c r="N187" s="13">
        <v>0</v>
      </c>
      <c r="O187" s="13">
        <v>0</v>
      </c>
      <c r="P187" s="13">
        <v>0</v>
      </c>
      <c r="Q187" s="13">
        <v>0</v>
      </c>
      <c r="R187" s="13">
        <v>1</v>
      </c>
      <c r="S187" s="13">
        <v>0</v>
      </c>
    </row>
    <row r="188" spans="1:19" ht="15" customHeight="1" x14ac:dyDescent="0.35">
      <c r="A188" s="40" t="s">
        <v>96</v>
      </c>
      <c r="B188" s="41">
        <v>2021</v>
      </c>
      <c r="C188" s="42">
        <v>1.18</v>
      </c>
      <c r="D188" s="41" t="s">
        <v>71</v>
      </c>
      <c r="E188" s="43">
        <v>320.35000000000002</v>
      </c>
      <c r="F188" s="41" t="s">
        <v>20</v>
      </c>
      <c r="G188" s="43">
        <v>113.40389999999999</v>
      </c>
      <c r="H188" s="44">
        <v>3.6720087132410101E-3</v>
      </c>
      <c r="I188" s="45">
        <v>0.16550000000000001</v>
      </c>
      <c r="J188" s="45">
        <v>5.7694000000000001</v>
      </c>
      <c r="K188" s="13">
        <v>0</v>
      </c>
      <c r="L188" s="13">
        <v>1</v>
      </c>
      <c r="M188" s="13">
        <v>0</v>
      </c>
      <c r="N188" s="13">
        <v>0</v>
      </c>
      <c r="O188" s="13">
        <v>0</v>
      </c>
      <c r="P188" s="13">
        <v>0</v>
      </c>
      <c r="Q188" s="13">
        <v>0</v>
      </c>
      <c r="R188" s="13">
        <v>1</v>
      </c>
      <c r="S188" s="13">
        <v>0</v>
      </c>
    </row>
    <row r="189" spans="1:19" ht="15" customHeight="1" x14ac:dyDescent="0.35">
      <c r="A189" s="34" t="s">
        <v>96</v>
      </c>
      <c r="B189" s="35">
        <v>2022</v>
      </c>
      <c r="C189" s="36">
        <v>1.08</v>
      </c>
      <c r="D189" s="35" t="s">
        <v>71</v>
      </c>
      <c r="E189" s="37">
        <v>319.33999999999997</v>
      </c>
      <c r="F189" s="35" t="s">
        <v>20</v>
      </c>
      <c r="G189" s="37">
        <v>103.46616</v>
      </c>
      <c r="H189" s="38">
        <v>3.3714178685147001E-3</v>
      </c>
      <c r="I189" s="39">
        <v>7.6999999999999999E-2</v>
      </c>
      <c r="J189" s="39">
        <v>5.7663000000000002</v>
      </c>
      <c r="K189" s="13">
        <v>0</v>
      </c>
      <c r="L189" s="13">
        <v>1</v>
      </c>
      <c r="M189" s="13">
        <v>0</v>
      </c>
      <c r="N189" s="13">
        <v>0</v>
      </c>
      <c r="O189" s="13">
        <v>0</v>
      </c>
      <c r="P189" s="13">
        <v>0</v>
      </c>
      <c r="Q189" s="13">
        <v>0</v>
      </c>
      <c r="R189" s="13">
        <v>1</v>
      </c>
      <c r="S189" s="13">
        <v>0</v>
      </c>
    </row>
    <row r="190" spans="1:19" ht="15" customHeight="1" x14ac:dyDescent="0.35">
      <c r="A190" s="40" t="s">
        <v>96</v>
      </c>
      <c r="B190" s="41">
        <v>2023</v>
      </c>
      <c r="C190" s="42">
        <v>1.1200000000000001</v>
      </c>
      <c r="D190" s="41" t="s">
        <v>71</v>
      </c>
      <c r="E190" s="43">
        <v>338.16</v>
      </c>
      <c r="F190" s="41" t="s">
        <v>20</v>
      </c>
      <c r="G190" s="43">
        <v>113.62175999999999</v>
      </c>
      <c r="H190" s="44">
        <v>3.3022762118174302E-3</v>
      </c>
      <c r="I190" s="45">
        <v>0.1133</v>
      </c>
      <c r="J190" s="45">
        <v>5.8235000000000001</v>
      </c>
      <c r="K190" s="13">
        <v>0</v>
      </c>
      <c r="L190" s="13">
        <v>1</v>
      </c>
      <c r="M190" s="13">
        <v>0</v>
      </c>
      <c r="N190" s="13">
        <v>0</v>
      </c>
      <c r="O190" s="13">
        <v>0</v>
      </c>
      <c r="P190" s="13">
        <v>0</v>
      </c>
      <c r="Q190" s="13">
        <v>0</v>
      </c>
      <c r="R190" s="13">
        <v>1</v>
      </c>
      <c r="S190" s="13">
        <v>0</v>
      </c>
    </row>
    <row r="191" spans="1:19" ht="15" customHeight="1" x14ac:dyDescent="0.35">
      <c r="A191" s="34" t="s">
        <v>97</v>
      </c>
      <c r="B191" s="35">
        <v>2015</v>
      </c>
      <c r="C191" s="36">
        <v>9.1</v>
      </c>
      <c r="D191" s="35" t="s">
        <v>71</v>
      </c>
      <c r="E191" s="37">
        <v>647.42999999999995</v>
      </c>
      <c r="F191" s="35" t="s">
        <v>28</v>
      </c>
      <c r="G191" s="37">
        <v>1767.4838999999999</v>
      </c>
      <c r="H191" s="38">
        <v>1.40338972595346E-2</v>
      </c>
      <c r="I191" s="39">
        <v>2.2082999999999999</v>
      </c>
      <c r="J191" s="39">
        <v>6.4729999999999999</v>
      </c>
      <c r="K191" s="13">
        <v>0</v>
      </c>
      <c r="L191" s="13">
        <v>0</v>
      </c>
      <c r="M191" s="13">
        <v>0</v>
      </c>
      <c r="N191" s="13">
        <v>0</v>
      </c>
      <c r="O191" s="13">
        <v>0</v>
      </c>
      <c r="P191" s="13">
        <v>1</v>
      </c>
      <c r="Q191" s="13">
        <v>0</v>
      </c>
      <c r="R191" s="13">
        <v>1</v>
      </c>
      <c r="S191" s="13">
        <v>1</v>
      </c>
    </row>
    <row r="192" spans="1:19" ht="15" customHeight="1" x14ac:dyDescent="0.35">
      <c r="A192" s="40" t="s">
        <v>97</v>
      </c>
      <c r="B192" s="41">
        <v>2016</v>
      </c>
      <c r="C192" s="42">
        <v>15.14</v>
      </c>
      <c r="D192" s="41" t="s">
        <v>71</v>
      </c>
      <c r="E192" s="43">
        <v>656.92</v>
      </c>
      <c r="F192" s="41" t="s">
        <v>28</v>
      </c>
      <c r="G192" s="43">
        <v>2983.7306400000002</v>
      </c>
      <c r="H192" s="44">
        <v>2.3011916342412501E-2</v>
      </c>
      <c r="I192" s="45">
        <v>2.7172999999999998</v>
      </c>
      <c r="J192" s="45">
        <v>6.4875999999999996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  <c r="P192" s="13">
        <v>1</v>
      </c>
      <c r="Q192" s="13">
        <v>0</v>
      </c>
      <c r="R192" s="13">
        <v>1</v>
      </c>
      <c r="S192" s="13">
        <v>0</v>
      </c>
    </row>
    <row r="193" spans="1:19" ht="15" customHeight="1" x14ac:dyDescent="0.35">
      <c r="A193" s="34" t="s">
        <v>97</v>
      </c>
      <c r="B193" s="35">
        <v>2017</v>
      </c>
      <c r="C193" s="36">
        <v>18.23</v>
      </c>
      <c r="D193" s="35" t="s">
        <v>71</v>
      </c>
      <c r="E193" s="37">
        <v>683.3</v>
      </c>
      <c r="F193" s="35" t="s">
        <v>28</v>
      </c>
      <c r="G193" s="37">
        <v>3736.9677000000001</v>
      </c>
      <c r="H193" s="38">
        <v>2.6640362414145798E-2</v>
      </c>
      <c r="I193" s="39">
        <v>2.9030999999999998</v>
      </c>
      <c r="J193" s="39">
        <v>6.5269000000000004</v>
      </c>
      <c r="K193" s="13">
        <v>0</v>
      </c>
      <c r="L193" s="13">
        <v>0</v>
      </c>
      <c r="M193" s="13">
        <v>0</v>
      </c>
      <c r="N193" s="13">
        <v>0</v>
      </c>
      <c r="O193" s="13">
        <v>0</v>
      </c>
      <c r="P193" s="13">
        <v>1</v>
      </c>
      <c r="Q193" s="13">
        <v>0</v>
      </c>
      <c r="R193" s="13">
        <v>1</v>
      </c>
      <c r="S193" s="13">
        <v>0</v>
      </c>
    </row>
    <row r="194" spans="1:19" ht="15" customHeight="1" x14ac:dyDescent="0.35">
      <c r="A194" s="40" t="s">
        <v>97</v>
      </c>
      <c r="B194" s="41">
        <v>2018</v>
      </c>
      <c r="C194" s="42">
        <v>20.52</v>
      </c>
      <c r="D194" s="41" t="s">
        <v>71</v>
      </c>
      <c r="E194" s="43">
        <v>708.54</v>
      </c>
      <c r="F194" s="41" t="s">
        <v>28</v>
      </c>
      <c r="G194" s="43">
        <v>4361.7722400000002</v>
      </c>
      <c r="H194" s="44">
        <v>2.89201454463455E-2</v>
      </c>
      <c r="I194" s="45">
        <v>3.0213999999999999</v>
      </c>
      <c r="J194" s="45">
        <v>6.5632000000000001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  <c r="P194" s="13">
        <v>1</v>
      </c>
      <c r="Q194" s="13">
        <v>0</v>
      </c>
      <c r="R194" s="13">
        <v>1</v>
      </c>
      <c r="S194" s="13">
        <v>0</v>
      </c>
    </row>
    <row r="195" spans="1:19" ht="15" customHeight="1" x14ac:dyDescent="0.35">
      <c r="A195" s="34" t="s">
        <v>97</v>
      </c>
      <c r="B195" s="35">
        <v>2019</v>
      </c>
      <c r="C195" s="36">
        <v>23.46</v>
      </c>
      <c r="D195" s="35" t="s">
        <v>71</v>
      </c>
      <c r="E195" s="37">
        <v>684.33</v>
      </c>
      <c r="F195" s="35" t="s">
        <v>28</v>
      </c>
      <c r="G195" s="37">
        <v>4816.3145400000003</v>
      </c>
      <c r="H195" s="38">
        <v>3.4231684006245197E-2</v>
      </c>
      <c r="I195" s="39">
        <v>3.1553</v>
      </c>
      <c r="J195" s="39">
        <v>6.5284000000000004</v>
      </c>
      <c r="K195" s="13">
        <v>0</v>
      </c>
      <c r="L195" s="13">
        <v>0</v>
      </c>
      <c r="M195" s="13">
        <v>0</v>
      </c>
      <c r="N195" s="13">
        <v>0</v>
      </c>
      <c r="O195" s="13">
        <v>0</v>
      </c>
      <c r="P195" s="13">
        <v>1</v>
      </c>
      <c r="Q195" s="13">
        <v>0</v>
      </c>
      <c r="R195" s="13">
        <v>1</v>
      </c>
      <c r="S195" s="13">
        <v>0</v>
      </c>
    </row>
    <row r="196" spans="1:19" ht="15" customHeight="1" x14ac:dyDescent="0.35">
      <c r="A196" s="40" t="s">
        <v>97</v>
      </c>
      <c r="B196" s="41">
        <v>2020</v>
      </c>
      <c r="C196" s="42">
        <v>32.79</v>
      </c>
      <c r="D196" s="41" t="s">
        <v>71</v>
      </c>
      <c r="E196" s="43">
        <v>642.24</v>
      </c>
      <c r="F196" s="41" t="s">
        <v>28</v>
      </c>
      <c r="G196" s="43">
        <v>6317.7148800000004</v>
      </c>
      <c r="H196" s="44">
        <v>5.0976307443566897E-2</v>
      </c>
      <c r="I196" s="45">
        <v>3.4901</v>
      </c>
      <c r="J196" s="45">
        <v>6.4649999999999999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  <c r="P196" s="13">
        <v>1</v>
      </c>
      <c r="Q196" s="13">
        <v>0</v>
      </c>
      <c r="R196" s="13">
        <v>1</v>
      </c>
      <c r="S196" s="13">
        <v>0</v>
      </c>
    </row>
    <row r="197" spans="1:19" ht="15" customHeight="1" x14ac:dyDescent="0.35">
      <c r="A197" s="34" t="s">
        <v>97</v>
      </c>
      <c r="B197" s="35">
        <v>2021</v>
      </c>
      <c r="C197" s="36">
        <v>15.89</v>
      </c>
      <c r="D197" s="35" t="s">
        <v>71</v>
      </c>
      <c r="E197" s="37">
        <v>672.77</v>
      </c>
      <c r="F197" s="35" t="s">
        <v>28</v>
      </c>
      <c r="G197" s="37">
        <v>3207.0945900000002</v>
      </c>
      <c r="H197" s="38">
        <v>2.3583715511227898E-2</v>
      </c>
      <c r="I197" s="39">
        <v>2.7656999999999998</v>
      </c>
      <c r="J197" s="39">
        <v>6.5114000000000001</v>
      </c>
      <c r="K197" s="13">
        <v>0</v>
      </c>
      <c r="L197" s="13">
        <v>0</v>
      </c>
      <c r="M197" s="13">
        <v>0</v>
      </c>
      <c r="N197" s="13">
        <v>0</v>
      </c>
      <c r="O197" s="13">
        <v>0</v>
      </c>
      <c r="P197" s="13">
        <v>1</v>
      </c>
      <c r="Q197" s="13">
        <v>0</v>
      </c>
      <c r="R197" s="13">
        <v>1</v>
      </c>
      <c r="S197" s="13">
        <v>0</v>
      </c>
    </row>
    <row r="198" spans="1:19" ht="15" customHeight="1" x14ac:dyDescent="0.35">
      <c r="A198" s="40" t="s">
        <v>97</v>
      </c>
      <c r="B198" s="41">
        <v>2022</v>
      </c>
      <c r="C198" s="42">
        <v>18.75</v>
      </c>
      <c r="D198" s="41" t="s">
        <v>71</v>
      </c>
      <c r="E198" s="43">
        <v>658.48</v>
      </c>
      <c r="F198" s="41" t="s">
        <v>28</v>
      </c>
      <c r="G198" s="43">
        <v>3703.95</v>
      </c>
      <c r="H198" s="44">
        <v>2.8431491478134299E-2</v>
      </c>
      <c r="I198" s="45">
        <v>2.9312</v>
      </c>
      <c r="J198" s="45">
        <v>6.4898999999999996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  <c r="P198" s="13">
        <v>1</v>
      </c>
      <c r="Q198" s="13">
        <v>0</v>
      </c>
      <c r="R198" s="13">
        <v>1</v>
      </c>
      <c r="S198" s="13">
        <v>0</v>
      </c>
    </row>
    <row r="199" spans="1:19" ht="15" customHeight="1" x14ac:dyDescent="0.35">
      <c r="A199" s="34" t="s">
        <v>97</v>
      </c>
      <c r="B199" s="35">
        <v>2023</v>
      </c>
      <c r="C199" s="36">
        <v>11.24</v>
      </c>
      <c r="D199" s="35" t="s">
        <v>71</v>
      </c>
      <c r="E199" s="37">
        <v>642.02</v>
      </c>
      <c r="F199" s="35" t="s">
        <v>28</v>
      </c>
      <c r="G199" s="37">
        <v>2164.8914399999999</v>
      </c>
      <c r="H199" s="38">
        <v>1.7480016173680502E-2</v>
      </c>
      <c r="I199" s="39">
        <v>2.4195000000000002</v>
      </c>
      <c r="J199" s="39">
        <v>6.4645999999999999</v>
      </c>
      <c r="K199" s="13">
        <v>0</v>
      </c>
      <c r="L199" s="13">
        <v>0</v>
      </c>
      <c r="M199" s="13">
        <v>0</v>
      </c>
      <c r="N199" s="13">
        <v>0</v>
      </c>
      <c r="O199" s="13">
        <v>0</v>
      </c>
      <c r="P199" s="13">
        <v>1</v>
      </c>
      <c r="Q199" s="13">
        <v>0</v>
      </c>
      <c r="R199" s="13">
        <v>1</v>
      </c>
      <c r="S199" s="13">
        <v>0</v>
      </c>
    </row>
    <row r="200" spans="1:19" ht="15" customHeight="1" x14ac:dyDescent="0.35">
      <c r="A200" s="40" t="s">
        <v>98</v>
      </c>
      <c r="B200" s="41">
        <v>2015</v>
      </c>
      <c r="C200" s="42">
        <v>3.76</v>
      </c>
      <c r="D200" s="41" t="s">
        <v>72</v>
      </c>
      <c r="E200" s="43">
        <v>8.93</v>
      </c>
      <c r="F200" s="41" t="s">
        <v>22</v>
      </c>
      <c r="G200" s="43">
        <v>10.073040000000001</v>
      </c>
      <c r="H200" s="44">
        <v>0.37865055387713997</v>
      </c>
      <c r="I200" s="45">
        <v>1.3244</v>
      </c>
      <c r="J200" s="45">
        <v>2.1894</v>
      </c>
      <c r="K200" s="13">
        <v>0</v>
      </c>
      <c r="L200" s="13">
        <v>0</v>
      </c>
      <c r="M200" s="13">
        <v>1</v>
      </c>
      <c r="N200" s="13">
        <v>0</v>
      </c>
      <c r="O200" s="13">
        <v>0</v>
      </c>
      <c r="P200" s="13">
        <v>0</v>
      </c>
      <c r="Q200" s="13">
        <v>1</v>
      </c>
      <c r="R200" s="13">
        <v>0</v>
      </c>
      <c r="S200" s="13">
        <v>1</v>
      </c>
    </row>
    <row r="201" spans="1:19" ht="15" customHeight="1" x14ac:dyDescent="0.35">
      <c r="A201" s="34" t="s">
        <v>98</v>
      </c>
      <c r="B201" s="35">
        <v>2016</v>
      </c>
      <c r="C201" s="36">
        <v>3.9</v>
      </c>
      <c r="D201" s="35" t="s">
        <v>72</v>
      </c>
      <c r="E201" s="37">
        <v>9.64</v>
      </c>
      <c r="F201" s="35" t="s">
        <v>22</v>
      </c>
      <c r="G201" s="37">
        <v>11.2788</v>
      </c>
      <c r="H201" s="38">
        <v>0.366541353383459</v>
      </c>
      <c r="I201" s="39">
        <v>1.361</v>
      </c>
      <c r="J201" s="39">
        <v>2.2658999999999998</v>
      </c>
      <c r="K201" s="13">
        <v>0</v>
      </c>
      <c r="L201" s="13">
        <v>0</v>
      </c>
      <c r="M201" s="13">
        <v>1</v>
      </c>
      <c r="N201" s="13">
        <v>0</v>
      </c>
      <c r="O201" s="13">
        <v>0</v>
      </c>
      <c r="P201" s="13">
        <v>0</v>
      </c>
      <c r="Q201" s="13">
        <v>1</v>
      </c>
      <c r="R201" s="13">
        <v>0</v>
      </c>
      <c r="S201" s="13">
        <v>0</v>
      </c>
    </row>
    <row r="202" spans="1:19" ht="15" customHeight="1" x14ac:dyDescent="0.35">
      <c r="A202" s="40" t="s">
        <v>98</v>
      </c>
      <c r="B202" s="41">
        <v>2017</v>
      </c>
      <c r="C202" s="42">
        <v>4.8099999999999996</v>
      </c>
      <c r="D202" s="41" t="s">
        <v>72</v>
      </c>
      <c r="E202" s="43">
        <v>9.6</v>
      </c>
      <c r="F202" s="41" t="s">
        <v>22</v>
      </c>
      <c r="G202" s="43">
        <v>13.8528</v>
      </c>
      <c r="H202" s="44">
        <v>0.45377358490566</v>
      </c>
      <c r="I202" s="45">
        <v>1.5707</v>
      </c>
      <c r="J202" s="45">
        <v>2.2618</v>
      </c>
      <c r="K202" s="13">
        <v>0</v>
      </c>
      <c r="L202" s="13">
        <v>0</v>
      </c>
      <c r="M202" s="13">
        <v>1</v>
      </c>
      <c r="N202" s="13">
        <v>0</v>
      </c>
      <c r="O202" s="13">
        <v>0</v>
      </c>
      <c r="P202" s="13">
        <v>0</v>
      </c>
      <c r="Q202" s="13">
        <v>1</v>
      </c>
      <c r="R202" s="13">
        <v>0</v>
      </c>
      <c r="S202" s="13">
        <v>0</v>
      </c>
    </row>
    <row r="203" spans="1:19" ht="15" customHeight="1" x14ac:dyDescent="0.35">
      <c r="A203" s="34" t="s">
        <v>98</v>
      </c>
      <c r="B203" s="35">
        <v>2018</v>
      </c>
      <c r="C203" s="36">
        <v>5.58</v>
      </c>
      <c r="D203" s="35" t="s">
        <v>72</v>
      </c>
      <c r="E203" s="37">
        <v>10.06</v>
      </c>
      <c r="F203" s="35" t="s">
        <v>22</v>
      </c>
      <c r="G203" s="37">
        <v>16.840440000000001</v>
      </c>
      <c r="H203" s="38">
        <v>0.50452079566003605</v>
      </c>
      <c r="I203" s="39">
        <v>1.7192000000000001</v>
      </c>
      <c r="J203" s="39">
        <v>2.3086000000000002</v>
      </c>
      <c r="K203" s="13">
        <v>0</v>
      </c>
      <c r="L203" s="13">
        <v>0</v>
      </c>
      <c r="M203" s="13">
        <v>1</v>
      </c>
      <c r="N203" s="13">
        <v>0</v>
      </c>
      <c r="O203" s="13">
        <v>0</v>
      </c>
      <c r="P203" s="13">
        <v>0</v>
      </c>
      <c r="Q203" s="13">
        <v>1</v>
      </c>
      <c r="R203" s="13">
        <v>0</v>
      </c>
      <c r="S203" s="13">
        <v>0</v>
      </c>
    </row>
    <row r="204" spans="1:19" ht="15" customHeight="1" x14ac:dyDescent="0.35">
      <c r="A204" s="40" t="s">
        <v>98</v>
      </c>
      <c r="B204" s="41">
        <v>2019</v>
      </c>
      <c r="C204" s="42">
        <v>5.0599999999999996</v>
      </c>
      <c r="D204" s="41" t="s">
        <v>72</v>
      </c>
      <c r="E204" s="43">
        <v>9.9</v>
      </c>
      <c r="F204" s="41" t="s">
        <v>22</v>
      </c>
      <c r="G204" s="43">
        <v>15.0282</v>
      </c>
      <c r="H204" s="44">
        <v>0.464220183486239</v>
      </c>
      <c r="I204" s="45">
        <v>1.6214</v>
      </c>
      <c r="J204" s="45">
        <v>2.2925</v>
      </c>
      <c r="K204" s="13">
        <v>0</v>
      </c>
      <c r="L204" s="13">
        <v>0</v>
      </c>
      <c r="M204" s="13">
        <v>1</v>
      </c>
      <c r="N204" s="13">
        <v>0</v>
      </c>
      <c r="O204" s="13">
        <v>0</v>
      </c>
      <c r="P204" s="13">
        <v>0</v>
      </c>
      <c r="Q204" s="13">
        <v>1</v>
      </c>
      <c r="R204" s="13">
        <v>0</v>
      </c>
      <c r="S204" s="13">
        <v>0</v>
      </c>
    </row>
    <row r="205" spans="1:19" ht="15" customHeight="1" x14ac:dyDescent="0.35">
      <c r="A205" s="34" t="s">
        <v>98</v>
      </c>
      <c r="B205" s="35">
        <v>2020</v>
      </c>
      <c r="C205" s="36">
        <v>9.84</v>
      </c>
      <c r="D205" s="35" t="s">
        <v>72</v>
      </c>
      <c r="E205" s="37">
        <v>9.31</v>
      </c>
      <c r="F205" s="35" t="s">
        <v>22</v>
      </c>
      <c r="G205" s="37">
        <v>27.48312</v>
      </c>
      <c r="H205" s="38">
        <v>0.95441319107662503</v>
      </c>
      <c r="I205" s="39">
        <v>2.2865000000000002</v>
      </c>
      <c r="J205" s="39">
        <v>2.2311000000000001</v>
      </c>
      <c r="K205" s="13">
        <v>0</v>
      </c>
      <c r="L205" s="13">
        <v>0</v>
      </c>
      <c r="M205" s="13">
        <v>1</v>
      </c>
      <c r="N205" s="13">
        <v>0</v>
      </c>
      <c r="O205" s="13">
        <v>0</v>
      </c>
      <c r="P205" s="13">
        <v>0</v>
      </c>
      <c r="Q205" s="13">
        <v>1</v>
      </c>
      <c r="R205" s="13">
        <v>0</v>
      </c>
      <c r="S205" s="13">
        <v>0</v>
      </c>
    </row>
    <row r="206" spans="1:19" ht="15" customHeight="1" x14ac:dyDescent="0.35">
      <c r="A206" s="40" t="s">
        <v>98</v>
      </c>
      <c r="B206" s="41">
        <v>2021</v>
      </c>
      <c r="C206" s="42">
        <v>14.1</v>
      </c>
      <c r="D206" s="41" t="s">
        <v>72</v>
      </c>
      <c r="E206" s="43">
        <v>17.97</v>
      </c>
      <c r="F206" s="41" t="s">
        <v>22</v>
      </c>
      <c r="G206" s="43">
        <v>76.013099999999994</v>
      </c>
      <c r="H206" s="44">
        <v>0.74327886136004195</v>
      </c>
      <c r="I206" s="45">
        <v>2.6461999999999999</v>
      </c>
      <c r="J206" s="45">
        <v>2.8887</v>
      </c>
      <c r="K206" s="13">
        <v>0</v>
      </c>
      <c r="L206" s="13">
        <v>0</v>
      </c>
      <c r="M206" s="13">
        <v>1</v>
      </c>
      <c r="N206" s="13">
        <v>0</v>
      </c>
      <c r="O206" s="13">
        <v>0</v>
      </c>
      <c r="P206" s="13">
        <v>0</v>
      </c>
      <c r="Q206" s="13">
        <v>1</v>
      </c>
      <c r="R206" s="13">
        <v>0</v>
      </c>
      <c r="S206" s="13">
        <v>0</v>
      </c>
    </row>
    <row r="207" spans="1:19" ht="15" customHeight="1" x14ac:dyDescent="0.35">
      <c r="A207" s="34" t="s">
        <v>98</v>
      </c>
      <c r="B207" s="35">
        <v>2022</v>
      </c>
      <c r="C207" s="36">
        <v>16.579999999999998</v>
      </c>
      <c r="D207" s="35" t="s">
        <v>72</v>
      </c>
      <c r="E207" s="37">
        <v>17.309999999999999</v>
      </c>
      <c r="F207" s="35" t="s">
        <v>22</v>
      </c>
      <c r="G207" s="37">
        <v>86.099940000000004</v>
      </c>
      <c r="H207" s="38">
        <v>0.90551611141452804</v>
      </c>
      <c r="I207" s="39">
        <v>2.8081999999999998</v>
      </c>
      <c r="J207" s="39">
        <v>2.8513000000000002</v>
      </c>
      <c r="K207" s="13">
        <v>0</v>
      </c>
      <c r="L207" s="13">
        <v>0</v>
      </c>
      <c r="M207" s="13">
        <v>1</v>
      </c>
      <c r="N207" s="13">
        <v>0</v>
      </c>
      <c r="O207" s="13">
        <v>0</v>
      </c>
      <c r="P207" s="13">
        <v>0</v>
      </c>
      <c r="Q207" s="13">
        <v>1</v>
      </c>
      <c r="R207" s="13">
        <v>0</v>
      </c>
      <c r="S207" s="13">
        <v>0</v>
      </c>
    </row>
    <row r="208" spans="1:19" ht="15" customHeight="1" x14ac:dyDescent="0.35">
      <c r="A208" s="40" t="s">
        <v>98</v>
      </c>
      <c r="B208" s="41">
        <v>2023</v>
      </c>
      <c r="C208" s="42">
        <v>16.309999999999999</v>
      </c>
      <c r="D208" s="41" t="s">
        <v>72</v>
      </c>
      <c r="E208" s="43">
        <v>17.239999999999998</v>
      </c>
      <c r="F208" s="41" t="s">
        <v>22</v>
      </c>
      <c r="G208" s="43">
        <v>84.355320000000006</v>
      </c>
      <c r="H208" s="44">
        <v>0.89418859649122795</v>
      </c>
      <c r="I208" s="45">
        <v>2.7917999999999998</v>
      </c>
      <c r="J208" s="45">
        <v>2.8472</v>
      </c>
      <c r="K208" s="13">
        <v>0</v>
      </c>
      <c r="L208" s="13">
        <v>0</v>
      </c>
      <c r="M208" s="13">
        <v>1</v>
      </c>
      <c r="N208" s="13">
        <v>0</v>
      </c>
      <c r="O208" s="13">
        <v>0</v>
      </c>
      <c r="P208" s="13">
        <v>0</v>
      </c>
      <c r="Q208" s="13">
        <v>1</v>
      </c>
      <c r="R208" s="13">
        <v>0</v>
      </c>
      <c r="S208" s="13">
        <v>0</v>
      </c>
    </row>
    <row r="209" spans="1:19" ht="15" customHeight="1" x14ac:dyDescent="0.35">
      <c r="A209" s="34" t="s">
        <v>99</v>
      </c>
      <c r="B209" s="35">
        <v>2021</v>
      </c>
      <c r="C209" s="36">
        <v>40.119999999999997</v>
      </c>
      <c r="D209" s="35" t="s">
        <v>72</v>
      </c>
      <c r="E209" s="37">
        <v>9.25</v>
      </c>
      <c r="F209" s="35" t="s">
        <v>22</v>
      </c>
      <c r="G209" s="37">
        <v>111.333</v>
      </c>
      <c r="H209" s="38">
        <v>3.9141463414634199</v>
      </c>
      <c r="I209" s="39">
        <v>3.6919</v>
      </c>
      <c r="J209" s="39">
        <v>2.2246000000000001</v>
      </c>
      <c r="K209" s="13">
        <v>0</v>
      </c>
      <c r="L209" s="13">
        <v>0</v>
      </c>
      <c r="M209" s="13">
        <v>1</v>
      </c>
      <c r="N209" s="13">
        <v>0</v>
      </c>
      <c r="O209" s="13">
        <v>0</v>
      </c>
      <c r="P209" s="13">
        <v>0</v>
      </c>
      <c r="Q209" s="13">
        <v>1</v>
      </c>
      <c r="R209" s="13">
        <v>0</v>
      </c>
      <c r="S209" s="13">
        <v>1</v>
      </c>
    </row>
    <row r="210" spans="1:19" ht="15" customHeight="1" x14ac:dyDescent="0.35">
      <c r="A210" s="40" t="s">
        <v>99</v>
      </c>
      <c r="B210" s="41">
        <v>2022</v>
      </c>
      <c r="C210" s="42">
        <v>41.76</v>
      </c>
      <c r="D210" s="41" t="s">
        <v>72</v>
      </c>
      <c r="E210" s="43">
        <v>8.11</v>
      </c>
      <c r="F210" s="41" t="s">
        <v>22</v>
      </c>
      <c r="G210" s="43">
        <v>101.60208</v>
      </c>
      <c r="H210" s="44">
        <v>4.5839736553238204</v>
      </c>
      <c r="I210" s="45">
        <v>3.7319</v>
      </c>
      <c r="J210" s="45">
        <v>2.0931000000000002</v>
      </c>
      <c r="K210" s="13">
        <v>0</v>
      </c>
      <c r="L210" s="13">
        <v>0</v>
      </c>
      <c r="M210" s="13">
        <v>1</v>
      </c>
      <c r="N210" s="13">
        <v>0</v>
      </c>
      <c r="O210" s="13">
        <v>0</v>
      </c>
      <c r="P210" s="13">
        <v>0</v>
      </c>
      <c r="Q210" s="13">
        <v>1</v>
      </c>
      <c r="R210" s="13">
        <v>0</v>
      </c>
      <c r="S210" s="13">
        <v>0</v>
      </c>
    </row>
    <row r="211" spans="1:19" ht="15" customHeight="1" x14ac:dyDescent="0.35">
      <c r="A211" s="34" t="s">
        <v>99</v>
      </c>
      <c r="B211" s="35">
        <v>2023</v>
      </c>
      <c r="C211" s="36">
        <v>46.56</v>
      </c>
      <c r="D211" s="35" t="s">
        <v>72</v>
      </c>
      <c r="E211" s="37">
        <v>7.78</v>
      </c>
      <c r="F211" s="35" t="s">
        <v>22</v>
      </c>
      <c r="G211" s="37">
        <v>108.67104</v>
      </c>
      <c r="H211" s="38">
        <v>5.3029612756264202</v>
      </c>
      <c r="I211" s="39">
        <v>3.8407</v>
      </c>
      <c r="J211" s="39">
        <v>2.0516000000000001</v>
      </c>
      <c r="K211" s="13">
        <v>0</v>
      </c>
      <c r="L211" s="13">
        <v>0</v>
      </c>
      <c r="M211" s="13">
        <v>1</v>
      </c>
      <c r="N211" s="13">
        <v>0</v>
      </c>
      <c r="O211" s="13">
        <v>0</v>
      </c>
      <c r="P211" s="13">
        <v>0</v>
      </c>
      <c r="Q211" s="13">
        <v>1</v>
      </c>
      <c r="R211" s="13">
        <v>0</v>
      </c>
      <c r="S211" s="13">
        <v>0</v>
      </c>
    </row>
    <row r="212" spans="1:19" ht="15" customHeight="1" x14ac:dyDescent="0.35">
      <c r="A212" s="40" t="s">
        <v>100</v>
      </c>
      <c r="B212" s="41">
        <v>2020</v>
      </c>
      <c r="C212" s="42">
        <v>8.1999999999999993</v>
      </c>
      <c r="D212" s="41" t="s">
        <v>71</v>
      </c>
      <c r="E212" s="43">
        <v>5022.8900000000003</v>
      </c>
      <c r="F212" s="41" t="s">
        <v>28</v>
      </c>
      <c r="G212" s="43">
        <v>12356.3094</v>
      </c>
      <c r="H212" s="44">
        <v>1.63220134198798E-3</v>
      </c>
      <c r="I212" s="45">
        <v>2.1040999999999999</v>
      </c>
      <c r="J212" s="45">
        <v>8.5218000000000007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  <c r="P212" s="13">
        <v>1</v>
      </c>
      <c r="Q212" s="13">
        <v>0</v>
      </c>
      <c r="R212" s="13">
        <v>1</v>
      </c>
      <c r="S212" s="13">
        <v>1</v>
      </c>
    </row>
    <row r="213" spans="1:19" ht="15" customHeight="1" x14ac:dyDescent="0.35">
      <c r="A213" s="34" t="s">
        <v>100</v>
      </c>
      <c r="B213" s="35">
        <v>2021</v>
      </c>
      <c r="C213" s="36">
        <v>6.5</v>
      </c>
      <c r="D213" s="35" t="s">
        <v>71</v>
      </c>
      <c r="E213" s="37">
        <v>5563.7</v>
      </c>
      <c r="F213" s="35" t="s">
        <v>28</v>
      </c>
      <c r="G213" s="37">
        <v>10849.215</v>
      </c>
      <c r="H213" s="38">
        <v>1.16807734469064E-3</v>
      </c>
      <c r="I213" s="39">
        <v>1.8717999999999999</v>
      </c>
      <c r="J213" s="39">
        <v>8.6240000000000006</v>
      </c>
      <c r="K213" s="13">
        <v>0</v>
      </c>
      <c r="L213" s="13">
        <v>0</v>
      </c>
      <c r="M213" s="13">
        <v>0</v>
      </c>
      <c r="N213" s="13">
        <v>0</v>
      </c>
      <c r="O213" s="13">
        <v>0</v>
      </c>
      <c r="P213" s="13">
        <v>1</v>
      </c>
      <c r="Q213" s="13">
        <v>0</v>
      </c>
      <c r="R213" s="13">
        <v>1</v>
      </c>
      <c r="S213" s="13">
        <v>0</v>
      </c>
    </row>
    <row r="214" spans="1:19" ht="15" customHeight="1" x14ac:dyDescent="0.35">
      <c r="A214" s="40" t="s">
        <v>100</v>
      </c>
      <c r="B214" s="41">
        <v>2022</v>
      </c>
      <c r="C214" s="42">
        <v>0.5</v>
      </c>
      <c r="D214" s="41" t="s">
        <v>71</v>
      </c>
      <c r="E214" s="43">
        <v>5638.18</v>
      </c>
      <c r="F214" s="41" t="s">
        <v>28</v>
      </c>
      <c r="G214" s="43">
        <v>845.72699999999998</v>
      </c>
      <c r="H214" s="44">
        <v>8.8665373334421001E-5</v>
      </c>
      <c r="I214" s="45">
        <v>-0.69310000000000005</v>
      </c>
      <c r="J214" s="45">
        <v>8.6372999999999998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  <c r="P214" s="13">
        <v>1</v>
      </c>
      <c r="Q214" s="13">
        <v>0</v>
      </c>
      <c r="R214" s="13">
        <v>1</v>
      </c>
      <c r="S214" s="13">
        <v>0</v>
      </c>
    </row>
    <row r="215" spans="1:19" ht="15" customHeight="1" x14ac:dyDescent="0.35">
      <c r="A215" s="34" t="s">
        <v>100</v>
      </c>
      <c r="B215" s="35">
        <v>2023</v>
      </c>
      <c r="C215" s="36">
        <v>12.05</v>
      </c>
      <c r="D215" s="35" t="s">
        <v>71</v>
      </c>
      <c r="E215" s="37">
        <v>5434.18</v>
      </c>
      <c r="F215" s="35" t="s">
        <v>28</v>
      </c>
      <c r="G215" s="37">
        <v>19644.560700000002</v>
      </c>
      <c r="H215" s="38">
        <v>2.2170378901894701E-3</v>
      </c>
      <c r="I215" s="39">
        <v>2.4891000000000001</v>
      </c>
      <c r="J215" s="39">
        <v>8.6005000000000003</v>
      </c>
      <c r="K215" s="13">
        <v>0</v>
      </c>
      <c r="L215" s="13">
        <v>0</v>
      </c>
      <c r="M215" s="13">
        <v>0</v>
      </c>
      <c r="N215" s="13">
        <v>0</v>
      </c>
      <c r="O215" s="13">
        <v>0</v>
      </c>
      <c r="P215" s="13">
        <v>1</v>
      </c>
      <c r="Q215" s="13">
        <v>0</v>
      </c>
      <c r="R215" s="13">
        <v>1</v>
      </c>
      <c r="S215" s="13">
        <v>0</v>
      </c>
    </row>
    <row r="216" spans="1:19" ht="15" customHeight="1" x14ac:dyDescent="0.35">
      <c r="A216" s="40" t="s">
        <v>101</v>
      </c>
      <c r="B216" s="41">
        <v>2016</v>
      </c>
      <c r="C216" s="42">
        <v>2.16</v>
      </c>
      <c r="D216" s="41" t="s">
        <v>72</v>
      </c>
      <c r="E216" s="43">
        <v>722.32</v>
      </c>
      <c r="F216" s="41" t="s">
        <v>24</v>
      </c>
      <c r="G216" s="43">
        <v>468.06335999999999</v>
      </c>
      <c r="H216" s="44">
        <v>2.9862301609246298E-3</v>
      </c>
      <c r="I216" s="45">
        <v>0.77010000000000001</v>
      </c>
      <c r="J216" s="45">
        <v>6.5824999999999996</v>
      </c>
      <c r="K216" s="13">
        <v>0</v>
      </c>
      <c r="L216" s="13">
        <v>0</v>
      </c>
      <c r="M216" s="13">
        <v>0</v>
      </c>
      <c r="N216" s="13">
        <v>1</v>
      </c>
      <c r="O216" s="13">
        <v>0</v>
      </c>
      <c r="P216" s="13">
        <v>0</v>
      </c>
      <c r="Q216" s="13">
        <v>1</v>
      </c>
      <c r="R216" s="13">
        <v>0</v>
      </c>
      <c r="S216" s="13">
        <v>1</v>
      </c>
    </row>
    <row r="217" spans="1:19" ht="15" customHeight="1" x14ac:dyDescent="0.35">
      <c r="A217" s="34" t="s">
        <v>101</v>
      </c>
      <c r="B217" s="35">
        <v>2017</v>
      </c>
      <c r="C217" s="36">
        <v>2.06</v>
      </c>
      <c r="D217" s="35" t="s">
        <v>72</v>
      </c>
      <c r="E217" s="37">
        <v>720.16</v>
      </c>
      <c r="F217" s="35" t="s">
        <v>24</v>
      </c>
      <c r="G217" s="37">
        <v>445.05887999999999</v>
      </c>
      <c r="H217" s="38">
        <v>2.8565089577902302E-3</v>
      </c>
      <c r="I217" s="39">
        <v>0.72270000000000001</v>
      </c>
      <c r="J217" s="39">
        <v>6.5795000000000003</v>
      </c>
      <c r="K217" s="13">
        <v>0</v>
      </c>
      <c r="L217" s="13">
        <v>0</v>
      </c>
      <c r="M217" s="13">
        <v>0</v>
      </c>
      <c r="N217" s="13">
        <v>1</v>
      </c>
      <c r="O217" s="13">
        <v>0</v>
      </c>
      <c r="P217" s="13">
        <v>0</v>
      </c>
      <c r="Q217" s="13">
        <v>1</v>
      </c>
      <c r="R217" s="13">
        <v>0</v>
      </c>
      <c r="S217" s="13">
        <v>0</v>
      </c>
    </row>
    <row r="218" spans="1:19" ht="15" customHeight="1" x14ac:dyDescent="0.35">
      <c r="A218" s="40" t="s">
        <v>101</v>
      </c>
      <c r="B218" s="41">
        <v>2018</v>
      </c>
      <c r="C218" s="42">
        <v>2.2599999999999998</v>
      </c>
      <c r="D218" s="41" t="s">
        <v>72</v>
      </c>
      <c r="E218" s="43">
        <v>703.37</v>
      </c>
      <c r="F218" s="41" t="s">
        <v>24</v>
      </c>
      <c r="G218" s="43">
        <v>476.88486</v>
      </c>
      <c r="H218" s="44">
        <v>3.2085409656856501E-3</v>
      </c>
      <c r="I218" s="45">
        <v>0.81540000000000001</v>
      </c>
      <c r="J218" s="45">
        <v>6.5559000000000003</v>
      </c>
      <c r="K218" s="13">
        <v>0</v>
      </c>
      <c r="L218" s="13">
        <v>0</v>
      </c>
      <c r="M218" s="13">
        <v>0</v>
      </c>
      <c r="N218" s="13">
        <v>1</v>
      </c>
      <c r="O218" s="13">
        <v>0</v>
      </c>
      <c r="P218" s="13">
        <v>0</v>
      </c>
      <c r="Q218" s="13">
        <v>1</v>
      </c>
      <c r="R218" s="13">
        <v>0</v>
      </c>
      <c r="S218" s="13">
        <v>0</v>
      </c>
    </row>
    <row r="219" spans="1:19" ht="15" customHeight="1" x14ac:dyDescent="0.35">
      <c r="A219" s="34" t="s">
        <v>101</v>
      </c>
      <c r="B219" s="35">
        <v>2019</v>
      </c>
      <c r="C219" s="36">
        <v>2.25</v>
      </c>
      <c r="D219" s="35" t="s">
        <v>72</v>
      </c>
      <c r="E219" s="37">
        <v>717.6</v>
      </c>
      <c r="F219" s="35" t="s">
        <v>24</v>
      </c>
      <c r="G219" s="37">
        <v>484.38</v>
      </c>
      <c r="H219" s="38">
        <v>3.1310882271082699E-3</v>
      </c>
      <c r="I219" s="39">
        <v>0.81089999999999995</v>
      </c>
      <c r="J219" s="39">
        <v>6.5758999999999999</v>
      </c>
      <c r="K219" s="13">
        <v>0</v>
      </c>
      <c r="L219" s="13">
        <v>0</v>
      </c>
      <c r="M219" s="13">
        <v>0</v>
      </c>
      <c r="N219" s="13">
        <v>1</v>
      </c>
      <c r="O219" s="13">
        <v>0</v>
      </c>
      <c r="P219" s="13">
        <v>0</v>
      </c>
      <c r="Q219" s="13">
        <v>1</v>
      </c>
      <c r="R219" s="13">
        <v>0</v>
      </c>
      <c r="S219" s="13">
        <v>0</v>
      </c>
    </row>
    <row r="220" spans="1:19" ht="15" customHeight="1" x14ac:dyDescent="0.35">
      <c r="A220" s="40" t="s">
        <v>101</v>
      </c>
      <c r="B220" s="41">
        <v>2020</v>
      </c>
      <c r="C220" s="42">
        <v>1.82</v>
      </c>
      <c r="D220" s="41" t="s">
        <v>72</v>
      </c>
      <c r="E220" s="43">
        <v>664.85</v>
      </c>
      <c r="F220" s="41" t="s">
        <v>24</v>
      </c>
      <c r="G220" s="43">
        <v>363.00810000000001</v>
      </c>
      <c r="H220" s="44">
        <v>2.7333483517308702E-3</v>
      </c>
      <c r="I220" s="45">
        <v>0.5988</v>
      </c>
      <c r="J220" s="45">
        <v>6.4996</v>
      </c>
      <c r="K220" s="13">
        <v>0</v>
      </c>
      <c r="L220" s="13">
        <v>0</v>
      </c>
      <c r="M220" s="13">
        <v>0</v>
      </c>
      <c r="N220" s="13">
        <v>1</v>
      </c>
      <c r="O220" s="13">
        <v>0</v>
      </c>
      <c r="P220" s="13">
        <v>0</v>
      </c>
      <c r="Q220" s="13">
        <v>1</v>
      </c>
      <c r="R220" s="13">
        <v>0</v>
      </c>
      <c r="S220" s="13">
        <v>0</v>
      </c>
    </row>
    <row r="221" spans="1:19" ht="15" customHeight="1" x14ac:dyDescent="0.35">
      <c r="A221" s="34" t="s">
        <v>101</v>
      </c>
      <c r="B221" s="35">
        <v>2021</v>
      </c>
      <c r="C221" s="36">
        <v>4.18</v>
      </c>
      <c r="D221" s="35" t="s">
        <v>72</v>
      </c>
      <c r="E221" s="37">
        <v>676.79</v>
      </c>
      <c r="F221" s="35" t="s">
        <v>24</v>
      </c>
      <c r="G221" s="37">
        <v>848.69466</v>
      </c>
      <c r="H221" s="38">
        <v>6.16710190471975E-3</v>
      </c>
      <c r="I221" s="39">
        <v>1.4302999999999999</v>
      </c>
      <c r="J221" s="39">
        <v>6.5174000000000003</v>
      </c>
      <c r="K221" s="13">
        <v>0</v>
      </c>
      <c r="L221" s="13">
        <v>0</v>
      </c>
      <c r="M221" s="13">
        <v>0</v>
      </c>
      <c r="N221" s="13">
        <v>1</v>
      </c>
      <c r="O221" s="13">
        <v>0</v>
      </c>
      <c r="P221" s="13">
        <v>0</v>
      </c>
      <c r="Q221" s="13">
        <v>1</v>
      </c>
      <c r="R221" s="13">
        <v>0</v>
      </c>
      <c r="S221" s="13">
        <v>0</v>
      </c>
    </row>
    <row r="222" spans="1:19" ht="15" customHeight="1" x14ac:dyDescent="0.35">
      <c r="A222" s="40" t="s">
        <v>101</v>
      </c>
      <c r="B222" s="41">
        <v>2022</v>
      </c>
      <c r="C222" s="42">
        <v>2.4900000000000002</v>
      </c>
      <c r="D222" s="41" t="s">
        <v>72</v>
      </c>
      <c r="E222" s="43">
        <v>708.03</v>
      </c>
      <c r="F222" s="41" t="s">
        <v>24</v>
      </c>
      <c r="G222" s="43">
        <v>528.89841000000001</v>
      </c>
      <c r="H222" s="44">
        <v>3.51184011960002E-3</v>
      </c>
      <c r="I222" s="45">
        <v>0.9123</v>
      </c>
      <c r="J222" s="45">
        <v>6.5625</v>
      </c>
      <c r="K222" s="13">
        <v>0</v>
      </c>
      <c r="L222" s="13">
        <v>0</v>
      </c>
      <c r="M222" s="13">
        <v>0</v>
      </c>
      <c r="N222" s="13">
        <v>1</v>
      </c>
      <c r="O222" s="13">
        <v>0</v>
      </c>
      <c r="P222" s="13">
        <v>0</v>
      </c>
      <c r="Q222" s="13">
        <v>1</v>
      </c>
      <c r="R222" s="13">
        <v>0</v>
      </c>
      <c r="S222" s="13">
        <v>0</v>
      </c>
    </row>
    <row r="223" spans="1:19" ht="15" customHeight="1" x14ac:dyDescent="0.35">
      <c r="A223" s="34" t="s">
        <v>101</v>
      </c>
      <c r="B223" s="35">
        <v>2023</v>
      </c>
      <c r="C223" s="36">
        <v>2.95</v>
      </c>
      <c r="D223" s="35" t="s">
        <v>72</v>
      </c>
      <c r="E223" s="37">
        <v>731.02</v>
      </c>
      <c r="F223" s="35" t="s">
        <v>24</v>
      </c>
      <c r="G223" s="37">
        <v>646.95270000000005</v>
      </c>
      <c r="H223" s="38">
        <v>4.0299445370345103E-3</v>
      </c>
      <c r="I223" s="39">
        <v>1.0818000000000001</v>
      </c>
      <c r="J223" s="39">
        <v>6.5944000000000003</v>
      </c>
      <c r="K223" s="13">
        <v>0</v>
      </c>
      <c r="L223" s="13">
        <v>0</v>
      </c>
      <c r="M223" s="13">
        <v>0</v>
      </c>
      <c r="N223" s="13">
        <v>1</v>
      </c>
      <c r="O223" s="13">
        <v>0</v>
      </c>
      <c r="P223" s="13">
        <v>0</v>
      </c>
      <c r="Q223" s="13">
        <v>1</v>
      </c>
      <c r="R223" s="13">
        <v>0</v>
      </c>
      <c r="S223" s="13">
        <v>0</v>
      </c>
    </row>
    <row r="224" spans="1:19" ht="15" customHeight="1" x14ac:dyDescent="0.35">
      <c r="A224" s="40" t="s">
        <v>102</v>
      </c>
      <c r="B224" s="41">
        <v>2021</v>
      </c>
      <c r="C224" s="42">
        <v>35.24</v>
      </c>
      <c r="D224" s="41" t="s">
        <v>72</v>
      </c>
      <c r="E224" s="43">
        <v>168.24</v>
      </c>
      <c r="F224" s="41" t="s">
        <v>22</v>
      </c>
      <c r="G224" s="43">
        <v>1778.63328</v>
      </c>
      <c r="H224" s="44">
        <v>0.208225005908769</v>
      </c>
      <c r="I224" s="45">
        <v>3.5621999999999998</v>
      </c>
      <c r="J224" s="45">
        <v>5.1254</v>
      </c>
      <c r="K224" s="13">
        <v>0</v>
      </c>
      <c r="L224" s="13">
        <v>0</v>
      </c>
      <c r="M224" s="13">
        <v>1</v>
      </c>
      <c r="N224" s="13">
        <v>0</v>
      </c>
      <c r="O224" s="13">
        <v>0</v>
      </c>
      <c r="P224" s="13">
        <v>0</v>
      </c>
      <c r="Q224" s="13">
        <v>1</v>
      </c>
      <c r="R224" s="13">
        <v>0</v>
      </c>
      <c r="S224" s="13">
        <v>1</v>
      </c>
    </row>
    <row r="225" spans="1:19" ht="15" customHeight="1" x14ac:dyDescent="0.35">
      <c r="A225" s="34" t="s">
        <v>102</v>
      </c>
      <c r="B225" s="35">
        <v>2022</v>
      </c>
      <c r="C225" s="36">
        <v>46.14</v>
      </c>
      <c r="D225" s="35" t="s">
        <v>72</v>
      </c>
      <c r="E225" s="37">
        <v>155.52000000000001</v>
      </c>
      <c r="F225" s="35" t="s">
        <v>22</v>
      </c>
      <c r="G225" s="37">
        <v>2152.70784</v>
      </c>
      <c r="H225" s="38">
        <v>0.29478660874009699</v>
      </c>
      <c r="I225" s="39">
        <v>3.8317000000000001</v>
      </c>
      <c r="J225" s="39">
        <v>5.0468000000000002</v>
      </c>
      <c r="K225" s="13">
        <v>0</v>
      </c>
      <c r="L225" s="13">
        <v>0</v>
      </c>
      <c r="M225" s="13">
        <v>1</v>
      </c>
      <c r="N225" s="13">
        <v>0</v>
      </c>
      <c r="O225" s="13">
        <v>0</v>
      </c>
      <c r="P225" s="13">
        <v>0</v>
      </c>
      <c r="Q225" s="13">
        <v>1</v>
      </c>
      <c r="R225" s="13">
        <v>0</v>
      </c>
      <c r="S225" s="13">
        <v>0</v>
      </c>
    </row>
    <row r="226" spans="1:19" ht="15" customHeight="1" x14ac:dyDescent="0.35">
      <c r="A226" s="40" t="s">
        <v>102</v>
      </c>
      <c r="B226" s="41">
        <v>2023</v>
      </c>
      <c r="C226" s="42">
        <v>39.33</v>
      </c>
      <c r="D226" s="41" t="s">
        <v>72</v>
      </c>
      <c r="E226" s="43">
        <v>145.66</v>
      </c>
      <c r="F226" s="41" t="s">
        <v>22</v>
      </c>
      <c r="G226" s="43">
        <v>1718.6423400000001</v>
      </c>
      <c r="H226" s="44">
        <v>0.26817128051275102</v>
      </c>
      <c r="I226" s="45">
        <v>3.6720000000000002</v>
      </c>
      <c r="J226" s="45">
        <v>4.9813000000000001</v>
      </c>
      <c r="K226" s="13">
        <v>0</v>
      </c>
      <c r="L226" s="13">
        <v>0</v>
      </c>
      <c r="M226" s="13">
        <v>1</v>
      </c>
      <c r="N226" s="13">
        <v>0</v>
      </c>
      <c r="O226" s="13">
        <v>0</v>
      </c>
      <c r="P226" s="13">
        <v>0</v>
      </c>
      <c r="Q226" s="13">
        <v>1</v>
      </c>
      <c r="R226" s="13">
        <v>0</v>
      </c>
      <c r="S226" s="13">
        <v>0</v>
      </c>
    </row>
    <row r="227" spans="1:19" ht="15" customHeight="1" x14ac:dyDescent="0.35">
      <c r="A227" s="34" t="s">
        <v>103</v>
      </c>
      <c r="B227" s="35">
        <v>2020</v>
      </c>
      <c r="C227" s="36">
        <v>21.1</v>
      </c>
      <c r="D227" s="35" t="s">
        <v>72</v>
      </c>
      <c r="E227" s="37">
        <v>853.61</v>
      </c>
      <c r="F227" s="35" t="s">
        <v>28</v>
      </c>
      <c r="G227" s="37">
        <v>5403.3513000000003</v>
      </c>
      <c r="H227" s="38">
        <v>2.46896245070851E-2</v>
      </c>
      <c r="I227" s="39">
        <v>3.0493000000000001</v>
      </c>
      <c r="J227" s="39">
        <v>6.7495000000000003</v>
      </c>
      <c r="K227" s="13">
        <v>0</v>
      </c>
      <c r="L227" s="13">
        <v>0</v>
      </c>
      <c r="M227" s="13">
        <v>0</v>
      </c>
      <c r="N227" s="13">
        <v>0</v>
      </c>
      <c r="O227" s="13">
        <v>0</v>
      </c>
      <c r="P227" s="13">
        <v>1</v>
      </c>
      <c r="Q227" s="13">
        <v>1</v>
      </c>
      <c r="R227" s="13">
        <v>0</v>
      </c>
      <c r="S227" s="13">
        <v>1</v>
      </c>
    </row>
    <row r="228" spans="1:19" ht="15" customHeight="1" x14ac:dyDescent="0.35">
      <c r="A228" s="40" t="s">
        <v>103</v>
      </c>
      <c r="B228" s="41">
        <v>2021</v>
      </c>
      <c r="C228" s="42">
        <v>31.83</v>
      </c>
      <c r="D228" s="41" t="s">
        <v>72</v>
      </c>
      <c r="E228" s="43">
        <v>844.41</v>
      </c>
      <c r="F228" s="41" t="s">
        <v>28</v>
      </c>
      <c r="G228" s="43">
        <v>8063.2710900000002</v>
      </c>
      <c r="H228" s="44">
        <v>3.76503708259898E-2</v>
      </c>
      <c r="I228" s="45">
        <v>3.4603999999999999</v>
      </c>
      <c r="J228" s="45">
        <v>6.7385999999999999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  <c r="P228" s="13">
        <v>1</v>
      </c>
      <c r="Q228" s="13">
        <v>1</v>
      </c>
      <c r="R228" s="13">
        <v>0</v>
      </c>
      <c r="S228" s="13">
        <v>0</v>
      </c>
    </row>
    <row r="229" spans="1:19" ht="15" customHeight="1" x14ac:dyDescent="0.35">
      <c r="A229" s="34" t="s">
        <v>103</v>
      </c>
      <c r="B229" s="35">
        <v>2022</v>
      </c>
      <c r="C229" s="36">
        <v>39.96</v>
      </c>
      <c r="D229" s="35" t="s">
        <v>72</v>
      </c>
      <c r="E229" s="37">
        <v>857.27</v>
      </c>
      <c r="F229" s="35" t="s">
        <v>28</v>
      </c>
      <c r="G229" s="37">
        <v>10276.95276</v>
      </c>
      <c r="H229" s="38">
        <v>4.6558775210598098E-2</v>
      </c>
      <c r="I229" s="39">
        <v>3.6879</v>
      </c>
      <c r="J229" s="39">
        <v>6.7538</v>
      </c>
      <c r="K229" s="13">
        <v>0</v>
      </c>
      <c r="L229" s="13">
        <v>0</v>
      </c>
      <c r="M229" s="13">
        <v>0</v>
      </c>
      <c r="N229" s="13">
        <v>0</v>
      </c>
      <c r="O229" s="13">
        <v>0</v>
      </c>
      <c r="P229" s="13">
        <v>1</v>
      </c>
      <c r="Q229" s="13">
        <v>1</v>
      </c>
      <c r="R229" s="13">
        <v>0</v>
      </c>
      <c r="S229" s="13">
        <v>0</v>
      </c>
    </row>
    <row r="230" spans="1:19" ht="15" customHeight="1" x14ac:dyDescent="0.35">
      <c r="A230" s="40" t="s">
        <v>103</v>
      </c>
      <c r="B230" s="41">
        <v>2022</v>
      </c>
      <c r="C230" s="42">
        <v>39.96</v>
      </c>
      <c r="D230" s="41" t="s">
        <v>71</v>
      </c>
      <c r="E230" s="43">
        <v>857.27</v>
      </c>
      <c r="F230" s="41" t="s">
        <v>28</v>
      </c>
      <c r="G230" s="43">
        <v>10276.95276</v>
      </c>
      <c r="H230" s="44">
        <v>4.6558775210598098E-2</v>
      </c>
      <c r="I230" s="45">
        <v>3.6879</v>
      </c>
      <c r="J230" s="45">
        <v>6.7538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  <c r="P230" s="13">
        <v>1</v>
      </c>
      <c r="Q230" s="13">
        <v>0</v>
      </c>
      <c r="R230" s="13">
        <v>1</v>
      </c>
      <c r="S230" s="13">
        <v>0</v>
      </c>
    </row>
    <row r="231" spans="1:19" ht="15" customHeight="1" x14ac:dyDescent="0.35">
      <c r="A231" s="34" t="s">
        <v>103</v>
      </c>
      <c r="B231" s="35">
        <v>2023</v>
      </c>
      <c r="C231" s="36">
        <v>48.03</v>
      </c>
      <c r="D231" s="35" t="s">
        <v>72</v>
      </c>
      <c r="E231" s="37">
        <v>875.95</v>
      </c>
      <c r="F231" s="35" t="s">
        <v>28</v>
      </c>
      <c r="G231" s="37">
        <v>12621.563550000001</v>
      </c>
      <c r="H231" s="38">
        <v>5.4769371115799097E-2</v>
      </c>
      <c r="I231" s="39">
        <v>3.8717999999999999</v>
      </c>
      <c r="J231" s="39">
        <v>6.7752999999999997</v>
      </c>
      <c r="K231" s="13">
        <v>0</v>
      </c>
      <c r="L231" s="13">
        <v>0</v>
      </c>
      <c r="M231" s="13">
        <v>0</v>
      </c>
      <c r="N231" s="13">
        <v>0</v>
      </c>
      <c r="O231" s="13">
        <v>0</v>
      </c>
      <c r="P231" s="13">
        <v>1</v>
      </c>
      <c r="Q231" s="13">
        <v>1</v>
      </c>
      <c r="R231" s="13">
        <v>0</v>
      </c>
      <c r="S231" s="13">
        <v>0</v>
      </c>
    </row>
    <row r="232" spans="1:19" ht="15" customHeight="1" x14ac:dyDescent="0.35">
      <c r="A232" s="40" t="s">
        <v>103</v>
      </c>
      <c r="B232" s="41">
        <v>2023</v>
      </c>
      <c r="C232" s="42">
        <v>48.03</v>
      </c>
      <c r="D232" s="41" t="s">
        <v>71</v>
      </c>
      <c r="E232" s="43">
        <v>875.95</v>
      </c>
      <c r="F232" s="41" t="s">
        <v>28</v>
      </c>
      <c r="G232" s="43">
        <v>12621.563550000001</v>
      </c>
      <c r="H232" s="44">
        <v>5.4769371115799097E-2</v>
      </c>
      <c r="I232" s="45">
        <v>3.8717999999999999</v>
      </c>
      <c r="J232" s="45">
        <v>6.7752999999999997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  <c r="P232" s="13">
        <v>1</v>
      </c>
      <c r="Q232" s="13">
        <v>0</v>
      </c>
      <c r="R232" s="13">
        <v>1</v>
      </c>
      <c r="S232" s="13">
        <v>0</v>
      </c>
    </row>
    <row r="233" spans="1:19" ht="15" customHeight="1" x14ac:dyDescent="0.35">
      <c r="A233" s="34" t="s">
        <v>104</v>
      </c>
      <c r="B233" s="35">
        <v>2015</v>
      </c>
      <c r="C233" s="36">
        <v>4.93</v>
      </c>
      <c r="D233" s="35" t="s">
        <v>71</v>
      </c>
      <c r="E233" s="37">
        <v>64.849999999999994</v>
      </c>
      <c r="F233" s="35" t="s">
        <v>20</v>
      </c>
      <c r="G233" s="37">
        <v>95.913150000000002</v>
      </c>
      <c r="H233" s="38">
        <v>7.4867122247532294E-2</v>
      </c>
      <c r="I233" s="39">
        <v>1.5952999999999999</v>
      </c>
      <c r="J233" s="39">
        <v>4.1721000000000004</v>
      </c>
      <c r="K233" s="13">
        <v>0</v>
      </c>
      <c r="L233" s="13">
        <v>1</v>
      </c>
      <c r="M233" s="13">
        <v>0</v>
      </c>
      <c r="N233" s="13">
        <v>0</v>
      </c>
      <c r="O233" s="13">
        <v>0</v>
      </c>
      <c r="P233" s="13">
        <v>0</v>
      </c>
      <c r="Q233" s="13">
        <v>0</v>
      </c>
      <c r="R233" s="13">
        <v>1</v>
      </c>
      <c r="S233" s="13">
        <v>1</v>
      </c>
    </row>
    <row r="234" spans="1:19" ht="15" customHeight="1" x14ac:dyDescent="0.35">
      <c r="A234" s="40" t="s">
        <v>104</v>
      </c>
      <c r="B234" s="41">
        <v>2016</v>
      </c>
      <c r="C234" s="42">
        <v>13.03</v>
      </c>
      <c r="D234" s="41" t="s">
        <v>71</v>
      </c>
      <c r="E234" s="43">
        <v>69.13</v>
      </c>
      <c r="F234" s="41" t="s">
        <v>20</v>
      </c>
      <c r="G234" s="43">
        <v>270.22917000000001</v>
      </c>
      <c r="H234" s="44">
        <v>0.185797804078141</v>
      </c>
      <c r="I234" s="45">
        <v>2.5672999999999999</v>
      </c>
      <c r="J234" s="45">
        <v>4.2359999999999998</v>
      </c>
      <c r="K234" s="13">
        <v>0</v>
      </c>
      <c r="L234" s="13">
        <v>1</v>
      </c>
      <c r="M234" s="13">
        <v>0</v>
      </c>
      <c r="N234" s="13">
        <v>0</v>
      </c>
      <c r="O234" s="13">
        <v>0</v>
      </c>
      <c r="P234" s="13">
        <v>0</v>
      </c>
      <c r="Q234" s="13">
        <v>0</v>
      </c>
      <c r="R234" s="13">
        <v>1</v>
      </c>
      <c r="S234" s="13">
        <v>0</v>
      </c>
    </row>
    <row r="235" spans="1:19" ht="15" customHeight="1" x14ac:dyDescent="0.35">
      <c r="A235" s="34" t="s">
        <v>104</v>
      </c>
      <c r="B235" s="35">
        <v>2017</v>
      </c>
      <c r="C235" s="36">
        <v>12.51</v>
      </c>
      <c r="D235" s="35" t="s">
        <v>71</v>
      </c>
      <c r="E235" s="37">
        <v>70.69</v>
      </c>
      <c r="F235" s="35" t="s">
        <v>20</v>
      </c>
      <c r="G235" s="37">
        <v>265.29957000000002</v>
      </c>
      <c r="H235" s="38">
        <v>0.17450132514995101</v>
      </c>
      <c r="I235" s="39">
        <v>2.5265</v>
      </c>
      <c r="J235" s="39">
        <v>4.2583000000000002</v>
      </c>
      <c r="K235" s="13">
        <v>0</v>
      </c>
      <c r="L235" s="13">
        <v>1</v>
      </c>
      <c r="M235" s="13">
        <v>0</v>
      </c>
      <c r="N235" s="13">
        <v>0</v>
      </c>
      <c r="O235" s="13">
        <v>0</v>
      </c>
      <c r="P235" s="13">
        <v>0</v>
      </c>
      <c r="Q235" s="13">
        <v>0</v>
      </c>
      <c r="R235" s="13">
        <v>1</v>
      </c>
      <c r="S235" s="13">
        <v>0</v>
      </c>
    </row>
    <row r="236" spans="1:19" ht="15" customHeight="1" x14ac:dyDescent="0.35">
      <c r="A236" s="40" t="s">
        <v>104</v>
      </c>
      <c r="B236" s="41">
        <v>2018</v>
      </c>
      <c r="C236" s="42">
        <v>15.22</v>
      </c>
      <c r="D236" s="41" t="s">
        <v>71</v>
      </c>
      <c r="E236" s="43">
        <v>69.97</v>
      </c>
      <c r="F236" s="41" t="s">
        <v>20</v>
      </c>
      <c r="G236" s="43">
        <v>319.48302000000001</v>
      </c>
      <c r="H236" s="44">
        <v>0.214456812737777</v>
      </c>
      <c r="I236" s="45">
        <v>2.7225999999999999</v>
      </c>
      <c r="J236" s="45">
        <v>4.2481</v>
      </c>
      <c r="K236" s="13">
        <v>0</v>
      </c>
      <c r="L236" s="13">
        <v>1</v>
      </c>
      <c r="M236" s="13">
        <v>0</v>
      </c>
      <c r="N236" s="13">
        <v>0</v>
      </c>
      <c r="O236" s="13">
        <v>0</v>
      </c>
      <c r="P236" s="13">
        <v>0</v>
      </c>
      <c r="Q236" s="13">
        <v>0</v>
      </c>
      <c r="R236" s="13">
        <v>1</v>
      </c>
      <c r="S236" s="13">
        <v>0</v>
      </c>
    </row>
    <row r="237" spans="1:19" ht="15" customHeight="1" x14ac:dyDescent="0.35">
      <c r="A237" s="34" t="s">
        <v>104</v>
      </c>
      <c r="B237" s="35">
        <v>2019</v>
      </c>
      <c r="C237" s="36">
        <v>17.53</v>
      </c>
      <c r="D237" s="35" t="s">
        <v>71</v>
      </c>
      <c r="E237" s="37">
        <v>70.77</v>
      </c>
      <c r="F237" s="35" t="s">
        <v>20</v>
      </c>
      <c r="G237" s="37">
        <v>372.17943000000002</v>
      </c>
      <c r="H237" s="38">
        <v>0.244252473178208</v>
      </c>
      <c r="I237" s="39">
        <v>2.8639000000000001</v>
      </c>
      <c r="J237" s="39">
        <v>4.2594000000000003</v>
      </c>
      <c r="K237" s="13">
        <v>0</v>
      </c>
      <c r="L237" s="13">
        <v>1</v>
      </c>
      <c r="M237" s="13">
        <v>0</v>
      </c>
      <c r="N237" s="13">
        <v>0</v>
      </c>
      <c r="O237" s="13">
        <v>0</v>
      </c>
      <c r="P237" s="13">
        <v>0</v>
      </c>
      <c r="Q237" s="13">
        <v>0</v>
      </c>
      <c r="R237" s="13">
        <v>1</v>
      </c>
      <c r="S237" s="13">
        <v>0</v>
      </c>
    </row>
    <row r="238" spans="1:19" ht="15" customHeight="1" x14ac:dyDescent="0.35">
      <c r="A238" s="40" t="s">
        <v>104</v>
      </c>
      <c r="B238" s="41">
        <v>2020</v>
      </c>
      <c r="C238" s="42">
        <v>14.3</v>
      </c>
      <c r="D238" s="41" t="s">
        <v>71</v>
      </c>
      <c r="E238" s="43">
        <v>67.81</v>
      </c>
      <c r="F238" s="41" t="s">
        <v>20</v>
      </c>
      <c r="G238" s="43">
        <v>290.9049</v>
      </c>
      <c r="H238" s="44">
        <v>0.20781863101293399</v>
      </c>
      <c r="I238" s="45">
        <v>2.6602999999999999</v>
      </c>
      <c r="J238" s="45">
        <v>4.2167000000000003</v>
      </c>
      <c r="K238" s="13">
        <v>0</v>
      </c>
      <c r="L238" s="13">
        <v>1</v>
      </c>
      <c r="M238" s="13">
        <v>0</v>
      </c>
      <c r="N238" s="13">
        <v>0</v>
      </c>
      <c r="O238" s="13">
        <v>0</v>
      </c>
      <c r="P238" s="13">
        <v>0</v>
      </c>
      <c r="Q238" s="13">
        <v>0</v>
      </c>
      <c r="R238" s="13">
        <v>1</v>
      </c>
      <c r="S238" s="13">
        <v>0</v>
      </c>
    </row>
    <row r="239" spans="1:19" ht="15" customHeight="1" x14ac:dyDescent="0.35">
      <c r="A239" s="34" t="s">
        <v>104</v>
      </c>
      <c r="B239" s="35">
        <v>2021</v>
      </c>
      <c r="C239" s="36">
        <v>25.76</v>
      </c>
      <c r="D239" s="35" t="s">
        <v>71</v>
      </c>
      <c r="E239" s="37">
        <v>74.98</v>
      </c>
      <c r="F239" s="35" t="s">
        <v>20</v>
      </c>
      <c r="G239" s="37">
        <v>579.44543999999996</v>
      </c>
      <c r="H239" s="38">
        <v>0.33903658857594099</v>
      </c>
      <c r="I239" s="39">
        <v>3.2488000000000001</v>
      </c>
      <c r="J239" s="39">
        <v>4.3171999999999997</v>
      </c>
      <c r="K239" s="13">
        <v>0</v>
      </c>
      <c r="L239" s="13">
        <v>1</v>
      </c>
      <c r="M239" s="13">
        <v>0</v>
      </c>
      <c r="N239" s="13">
        <v>0</v>
      </c>
      <c r="O239" s="13">
        <v>0</v>
      </c>
      <c r="P239" s="13">
        <v>0</v>
      </c>
      <c r="Q239" s="13">
        <v>0</v>
      </c>
      <c r="R239" s="13">
        <v>1</v>
      </c>
      <c r="S239" s="13">
        <v>0</v>
      </c>
    </row>
    <row r="240" spans="1:19" ht="15" customHeight="1" x14ac:dyDescent="0.35">
      <c r="A240" s="40" t="s">
        <v>104</v>
      </c>
      <c r="B240" s="41">
        <v>2022</v>
      </c>
      <c r="C240" s="42">
        <v>52.62</v>
      </c>
      <c r="D240" s="41" t="s">
        <v>71</v>
      </c>
      <c r="E240" s="43">
        <v>71.239999999999995</v>
      </c>
      <c r="F240" s="41" t="s">
        <v>20</v>
      </c>
      <c r="G240" s="43">
        <v>1124.59464</v>
      </c>
      <c r="H240" s="44">
        <v>0.72840531561461797</v>
      </c>
      <c r="I240" s="45">
        <v>3.9630999999999998</v>
      </c>
      <c r="J240" s="45">
        <v>4.2660999999999998</v>
      </c>
      <c r="K240" s="13">
        <v>0</v>
      </c>
      <c r="L240" s="13">
        <v>1</v>
      </c>
      <c r="M240" s="13">
        <v>0</v>
      </c>
      <c r="N240" s="13">
        <v>0</v>
      </c>
      <c r="O240" s="13">
        <v>0</v>
      </c>
      <c r="P240" s="13">
        <v>0</v>
      </c>
      <c r="Q240" s="13">
        <v>0</v>
      </c>
      <c r="R240" s="13">
        <v>1</v>
      </c>
      <c r="S240" s="13">
        <v>0</v>
      </c>
    </row>
    <row r="241" spans="1:19" ht="15" customHeight="1" x14ac:dyDescent="0.35">
      <c r="A241" s="34" t="s">
        <v>104</v>
      </c>
      <c r="B241" s="35">
        <v>2023</v>
      </c>
      <c r="C241" s="36">
        <v>34.200000000000003</v>
      </c>
      <c r="D241" s="35" t="s">
        <v>71</v>
      </c>
      <c r="E241" s="37">
        <v>69.959999999999994</v>
      </c>
      <c r="F241" s="35" t="s">
        <v>20</v>
      </c>
      <c r="G241" s="37">
        <v>717.78959999999995</v>
      </c>
      <c r="H241" s="38">
        <v>0.48196166854566003</v>
      </c>
      <c r="I241" s="39">
        <v>3.5322</v>
      </c>
      <c r="J241" s="39">
        <v>4.2478999999999996</v>
      </c>
      <c r="K241" s="13">
        <v>0</v>
      </c>
      <c r="L241" s="13">
        <v>1</v>
      </c>
      <c r="M241" s="13">
        <v>0</v>
      </c>
      <c r="N241" s="13">
        <v>0</v>
      </c>
      <c r="O241" s="13">
        <v>0</v>
      </c>
      <c r="P241" s="13">
        <v>0</v>
      </c>
      <c r="Q241" s="13">
        <v>0</v>
      </c>
      <c r="R241" s="13">
        <v>1</v>
      </c>
      <c r="S241" s="13">
        <v>0</v>
      </c>
    </row>
    <row r="242" spans="1:19" ht="15" customHeight="1" x14ac:dyDescent="0.35">
      <c r="A242" s="40" t="s">
        <v>105</v>
      </c>
      <c r="B242" s="41">
        <v>2019</v>
      </c>
      <c r="C242" s="42">
        <v>15</v>
      </c>
      <c r="D242" s="41" t="s">
        <v>72</v>
      </c>
      <c r="E242" s="43">
        <v>915.12</v>
      </c>
      <c r="F242" s="41" t="s">
        <v>28</v>
      </c>
      <c r="G242" s="43">
        <v>4118.04</v>
      </c>
      <c r="H242" s="44">
        <v>1.6373400864515601E-2</v>
      </c>
      <c r="I242" s="45">
        <v>2.7081</v>
      </c>
      <c r="J242" s="45">
        <v>6.8190999999999997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  <c r="P242" s="13">
        <v>1</v>
      </c>
      <c r="Q242" s="13">
        <v>1</v>
      </c>
      <c r="R242" s="13">
        <v>0</v>
      </c>
      <c r="S242" s="13">
        <v>1</v>
      </c>
    </row>
    <row r="243" spans="1:19" ht="15" customHeight="1" x14ac:dyDescent="0.35">
      <c r="A243" s="34" t="s">
        <v>105</v>
      </c>
      <c r="B243" s="35">
        <v>2020</v>
      </c>
      <c r="C243" s="36">
        <v>14.07</v>
      </c>
      <c r="D243" s="35" t="s">
        <v>72</v>
      </c>
      <c r="E243" s="37">
        <v>853.61</v>
      </c>
      <c r="F243" s="35" t="s">
        <v>28</v>
      </c>
      <c r="G243" s="37">
        <v>3603.08781</v>
      </c>
      <c r="H243" s="38">
        <v>1.6463650086004099E-2</v>
      </c>
      <c r="I243" s="39">
        <v>2.6440000000000001</v>
      </c>
      <c r="J243" s="39">
        <v>6.7495000000000003</v>
      </c>
      <c r="K243" s="13">
        <v>0</v>
      </c>
      <c r="L243" s="13">
        <v>0</v>
      </c>
      <c r="M243" s="13">
        <v>0</v>
      </c>
      <c r="N243" s="13">
        <v>0</v>
      </c>
      <c r="O243" s="13">
        <v>0</v>
      </c>
      <c r="P243" s="13">
        <v>1</v>
      </c>
      <c r="Q243" s="13">
        <v>1</v>
      </c>
      <c r="R243" s="13">
        <v>0</v>
      </c>
      <c r="S243" s="13">
        <v>0</v>
      </c>
    </row>
    <row r="244" spans="1:19" ht="15" customHeight="1" x14ac:dyDescent="0.35">
      <c r="A244" s="40" t="s">
        <v>105</v>
      </c>
      <c r="B244" s="41">
        <v>2021</v>
      </c>
      <c r="C244" s="42">
        <v>23.88</v>
      </c>
      <c r="D244" s="41" t="s">
        <v>72</v>
      </c>
      <c r="E244" s="43">
        <v>844.41</v>
      </c>
      <c r="F244" s="41" t="s">
        <v>28</v>
      </c>
      <c r="G244" s="43">
        <v>6049.3532400000004</v>
      </c>
      <c r="H244" s="44">
        <v>2.8246649554653998E-2</v>
      </c>
      <c r="I244" s="45">
        <v>3.173</v>
      </c>
      <c r="J244" s="45">
        <v>6.7385999999999999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  <c r="P244" s="13">
        <v>1</v>
      </c>
      <c r="Q244" s="13">
        <v>1</v>
      </c>
      <c r="R244" s="13">
        <v>0</v>
      </c>
      <c r="S244" s="13">
        <v>0</v>
      </c>
    </row>
    <row r="245" spans="1:19" ht="15" customHeight="1" x14ac:dyDescent="0.35">
      <c r="A245" s="34" t="s">
        <v>105</v>
      </c>
      <c r="B245" s="35">
        <v>2021</v>
      </c>
      <c r="C245" s="36">
        <v>23.88</v>
      </c>
      <c r="D245" s="35" t="s">
        <v>71</v>
      </c>
      <c r="E245" s="37">
        <v>844.41</v>
      </c>
      <c r="F245" s="35" t="s">
        <v>28</v>
      </c>
      <c r="G245" s="37">
        <v>6049.3532400000004</v>
      </c>
      <c r="H245" s="38">
        <v>2.8246649554653998E-2</v>
      </c>
      <c r="I245" s="39">
        <v>3.173</v>
      </c>
      <c r="J245" s="39">
        <v>6.7385999999999999</v>
      </c>
      <c r="K245" s="13">
        <v>0</v>
      </c>
      <c r="L245" s="13">
        <v>0</v>
      </c>
      <c r="M245" s="13">
        <v>0</v>
      </c>
      <c r="N245" s="13">
        <v>0</v>
      </c>
      <c r="O245" s="13">
        <v>0</v>
      </c>
      <c r="P245" s="13">
        <v>1</v>
      </c>
      <c r="Q245" s="13">
        <v>0</v>
      </c>
      <c r="R245" s="13">
        <v>1</v>
      </c>
      <c r="S245" s="13">
        <v>0</v>
      </c>
    </row>
    <row r="246" spans="1:19" ht="15" customHeight="1" x14ac:dyDescent="0.35">
      <c r="A246" s="40" t="s">
        <v>105</v>
      </c>
      <c r="B246" s="41">
        <v>2022</v>
      </c>
      <c r="C246" s="42">
        <v>39.96</v>
      </c>
      <c r="D246" s="41" t="s">
        <v>72</v>
      </c>
      <c r="E246" s="43">
        <v>857.27</v>
      </c>
      <c r="F246" s="41" t="s">
        <v>28</v>
      </c>
      <c r="G246" s="43">
        <v>10276.95276</v>
      </c>
      <c r="H246" s="44">
        <v>4.6558775210598098E-2</v>
      </c>
      <c r="I246" s="45">
        <v>3.6879</v>
      </c>
      <c r="J246" s="45">
        <v>6.7538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  <c r="P246" s="13">
        <v>1</v>
      </c>
      <c r="Q246" s="13">
        <v>1</v>
      </c>
      <c r="R246" s="13">
        <v>0</v>
      </c>
      <c r="S246" s="13">
        <v>0</v>
      </c>
    </row>
    <row r="247" spans="1:19" ht="15" customHeight="1" x14ac:dyDescent="0.35">
      <c r="A247" s="34" t="s">
        <v>105</v>
      </c>
      <c r="B247" s="35">
        <v>2022</v>
      </c>
      <c r="C247" s="36">
        <v>39.96</v>
      </c>
      <c r="D247" s="35" t="s">
        <v>71</v>
      </c>
      <c r="E247" s="37">
        <v>857.27</v>
      </c>
      <c r="F247" s="35" t="s">
        <v>28</v>
      </c>
      <c r="G247" s="37">
        <v>10276.95276</v>
      </c>
      <c r="H247" s="38">
        <v>4.6558775210598098E-2</v>
      </c>
      <c r="I247" s="39">
        <v>3.6879</v>
      </c>
      <c r="J247" s="39">
        <v>6.7538</v>
      </c>
      <c r="K247" s="13">
        <v>0</v>
      </c>
      <c r="L247" s="13">
        <v>0</v>
      </c>
      <c r="M247" s="13">
        <v>0</v>
      </c>
      <c r="N247" s="13">
        <v>0</v>
      </c>
      <c r="O247" s="13">
        <v>0</v>
      </c>
      <c r="P247" s="13">
        <v>1</v>
      </c>
      <c r="Q247" s="13">
        <v>0</v>
      </c>
      <c r="R247" s="13">
        <v>1</v>
      </c>
      <c r="S247" s="13">
        <v>0</v>
      </c>
    </row>
    <row r="248" spans="1:19" ht="15" customHeight="1" x14ac:dyDescent="0.35">
      <c r="A248" s="40" t="s">
        <v>105</v>
      </c>
      <c r="B248" s="41">
        <v>2023</v>
      </c>
      <c r="C248" s="42">
        <v>48.03</v>
      </c>
      <c r="D248" s="41" t="s">
        <v>72</v>
      </c>
      <c r="E248" s="43">
        <v>875.95</v>
      </c>
      <c r="F248" s="41" t="s">
        <v>28</v>
      </c>
      <c r="G248" s="43">
        <v>12621.563550000001</v>
      </c>
      <c r="H248" s="44">
        <v>5.4769371115799097E-2</v>
      </c>
      <c r="I248" s="45">
        <v>3.8717999999999999</v>
      </c>
      <c r="J248" s="45">
        <v>6.7752999999999997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  <c r="P248" s="13">
        <v>1</v>
      </c>
      <c r="Q248" s="13">
        <v>1</v>
      </c>
      <c r="R248" s="13">
        <v>0</v>
      </c>
      <c r="S248" s="13">
        <v>0</v>
      </c>
    </row>
    <row r="249" spans="1:19" ht="15" customHeight="1" x14ac:dyDescent="0.35">
      <c r="A249" s="34" t="s">
        <v>105</v>
      </c>
      <c r="B249" s="35">
        <v>2023</v>
      </c>
      <c r="C249" s="36">
        <v>48.03</v>
      </c>
      <c r="D249" s="35" t="s">
        <v>71</v>
      </c>
      <c r="E249" s="37">
        <v>875.95</v>
      </c>
      <c r="F249" s="35" t="s">
        <v>28</v>
      </c>
      <c r="G249" s="37">
        <v>12621.563550000001</v>
      </c>
      <c r="H249" s="38">
        <v>5.4769371115799097E-2</v>
      </c>
      <c r="I249" s="39">
        <v>3.8717999999999999</v>
      </c>
      <c r="J249" s="39">
        <v>6.7752999999999997</v>
      </c>
      <c r="K249" s="13">
        <v>0</v>
      </c>
      <c r="L249" s="13">
        <v>0</v>
      </c>
      <c r="M249" s="13">
        <v>0</v>
      </c>
      <c r="N249" s="13">
        <v>0</v>
      </c>
      <c r="O249" s="13">
        <v>0</v>
      </c>
      <c r="P249" s="13">
        <v>1</v>
      </c>
      <c r="Q249" s="13">
        <v>0</v>
      </c>
      <c r="R249" s="13">
        <v>1</v>
      </c>
      <c r="S249" s="13">
        <v>0</v>
      </c>
    </row>
    <row r="250" spans="1:19" ht="15" customHeight="1" x14ac:dyDescent="0.35">
      <c r="A250" s="40" t="s">
        <v>106</v>
      </c>
      <c r="B250" s="41">
        <v>2020</v>
      </c>
      <c r="C250" s="42">
        <v>14.07</v>
      </c>
      <c r="D250" s="41" t="s">
        <v>72</v>
      </c>
      <c r="E250" s="43">
        <v>853.61</v>
      </c>
      <c r="F250" s="41" t="s">
        <v>28</v>
      </c>
      <c r="G250" s="43">
        <v>3603.08781</v>
      </c>
      <c r="H250" s="44">
        <v>1.6463650086004099E-2</v>
      </c>
      <c r="I250" s="45">
        <v>2.6440000000000001</v>
      </c>
      <c r="J250" s="45">
        <v>6.7495000000000003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  <c r="P250" s="13">
        <v>1</v>
      </c>
      <c r="Q250" s="13">
        <v>1</v>
      </c>
      <c r="R250" s="13">
        <v>0</v>
      </c>
      <c r="S250" s="13">
        <v>1</v>
      </c>
    </row>
    <row r="251" spans="1:19" ht="15" customHeight="1" x14ac:dyDescent="0.35">
      <c r="A251" s="34" t="s">
        <v>106</v>
      </c>
      <c r="B251" s="35">
        <v>2021</v>
      </c>
      <c r="C251" s="36">
        <v>23.88</v>
      </c>
      <c r="D251" s="35" t="s">
        <v>72</v>
      </c>
      <c r="E251" s="37">
        <v>844.41</v>
      </c>
      <c r="F251" s="35" t="s">
        <v>28</v>
      </c>
      <c r="G251" s="37">
        <v>6049.3532400000004</v>
      </c>
      <c r="H251" s="38">
        <v>2.8246649554653998E-2</v>
      </c>
      <c r="I251" s="39">
        <v>3.173</v>
      </c>
      <c r="J251" s="39">
        <v>6.7385999999999999</v>
      </c>
      <c r="K251" s="13">
        <v>0</v>
      </c>
      <c r="L251" s="13">
        <v>0</v>
      </c>
      <c r="M251" s="13">
        <v>0</v>
      </c>
      <c r="N251" s="13">
        <v>0</v>
      </c>
      <c r="O251" s="13">
        <v>0</v>
      </c>
      <c r="P251" s="13">
        <v>1</v>
      </c>
      <c r="Q251" s="13">
        <v>1</v>
      </c>
      <c r="R251" s="13">
        <v>0</v>
      </c>
      <c r="S251" s="13">
        <v>0</v>
      </c>
    </row>
    <row r="252" spans="1:19" ht="15" customHeight="1" x14ac:dyDescent="0.35">
      <c r="A252" s="40" t="s">
        <v>106</v>
      </c>
      <c r="B252" s="41">
        <v>2022</v>
      </c>
      <c r="C252" s="42">
        <v>31.97</v>
      </c>
      <c r="D252" s="41" t="s">
        <v>72</v>
      </c>
      <c r="E252" s="43">
        <v>857.27</v>
      </c>
      <c r="F252" s="41" t="s">
        <v>28</v>
      </c>
      <c r="G252" s="43">
        <v>8222.0765699999993</v>
      </c>
      <c r="H252" s="44">
        <v>3.7249350437508003E-2</v>
      </c>
      <c r="I252" s="45">
        <v>3.4647999999999999</v>
      </c>
      <c r="J252" s="45">
        <v>6.7538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  <c r="P252" s="13">
        <v>1</v>
      </c>
      <c r="Q252" s="13">
        <v>1</v>
      </c>
      <c r="R252" s="13">
        <v>0</v>
      </c>
      <c r="S252" s="13">
        <v>0</v>
      </c>
    </row>
    <row r="253" spans="1:19" ht="15" customHeight="1" x14ac:dyDescent="0.35">
      <c r="A253" s="34" t="s">
        <v>106</v>
      </c>
      <c r="B253" s="35">
        <v>2023</v>
      </c>
      <c r="C253" s="36">
        <v>48.03</v>
      </c>
      <c r="D253" s="35" t="s">
        <v>72</v>
      </c>
      <c r="E253" s="37">
        <v>875.95</v>
      </c>
      <c r="F253" s="35" t="s">
        <v>28</v>
      </c>
      <c r="G253" s="37">
        <v>12621.563550000001</v>
      </c>
      <c r="H253" s="38">
        <v>5.4769371115799097E-2</v>
      </c>
      <c r="I253" s="39">
        <v>3.8717999999999999</v>
      </c>
      <c r="J253" s="39">
        <v>6.7752999999999997</v>
      </c>
      <c r="K253" s="13">
        <v>0</v>
      </c>
      <c r="L253" s="13">
        <v>0</v>
      </c>
      <c r="M253" s="13">
        <v>0</v>
      </c>
      <c r="N253" s="13">
        <v>0</v>
      </c>
      <c r="O253" s="13">
        <v>0</v>
      </c>
      <c r="P253" s="13">
        <v>1</v>
      </c>
      <c r="Q253" s="13">
        <v>1</v>
      </c>
      <c r="R253" s="13">
        <v>0</v>
      </c>
      <c r="S253" s="13">
        <v>0</v>
      </c>
    </row>
    <row r="254" spans="1:19" ht="15" customHeight="1" x14ac:dyDescent="0.35">
      <c r="A254" s="40" t="s">
        <v>107</v>
      </c>
      <c r="B254" s="41">
        <v>2015</v>
      </c>
      <c r="C254" s="42">
        <v>63.24</v>
      </c>
      <c r="D254" s="41" t="s">
        <v>72</v>
      </c>
      <c r="E254" s="43">
        <v>36.06</v>
      </c>
      <c r="F254" s="41" t="s">
        <v>22</v>
      </c>
      <c r="G254" s="43">
        <v>684.13031999999998</v>
      </c>
      <c r="H254" s="44">
        <v>1.7064220183486201</v>
      </c>
      <c r="I254" s="45">
        <v>4.1468999999999996</v>
      </c>
      <c r="J254" s="45">
        <v>3.5851999999999999</v>
      </c>
      <c r="K254" s="13">
        <v>0</v>
      </c>
      <c r="L254" s="13">
        <v>0</v>
      </c>
      <c r="M254" s="13">
        <v>1</v>
      </c>
      <c r="N254" s="13">
        <v>0</v>
      </c>
      <c r="O254" s="13">
        <v>0</v>
      </c>
      <c r="P254" s="13">
        <v>0</v>
      </c>
      <c r="Q254" s="13">
        <v>1</v>
      </c>
      <c r="R254" s="13">
        <v>0</v>
      </c>
      <c r="S254" s="13">
        <v>1</v>
      </c>
    </row>
    <row r="255" spans="1:19" ht="15" customHeight="1" x14ac:dyDescent="0.35">
      <c r="A255" s="34" t="s">
        <v>107</v>
      </c>
      <c r="B255" s="35">
        <v>2016</v>
      </c>
      <c r="C255" s="36">
        <v>62.08</v>
      </c>
      <c r="D255" s="35" t="s">
        <v>72</v>
      </c>
      <c r="E255" s="37">
        <v>46.29</v>
      </c>
      <c r="F255" s="35" t="s">
        <v>22</v>
      </c>
      <c r="G255" s="37">
        <v>862.10496000000001</v>
      </c>
      <c r="H255" s="38">
        <v>1.3127511101712801</v>
      </c>
      <c r="I255" s="39">
        <v>4.1284000000000001</v>
      </c>
      <c r="J255" s="39">
        <v>3.8349000000000002</v>
      </c>
      <c r="K255" s="13">
        <v>0</v>
      </c>
      <c r="L255" s="13">
        <v>0</v>
      </c>
      <c r="M255" s="13">
        <v>1</v>
      </c>
      <c r="N255" s="13">
        <v>0</v>
      </c>
      <c r="O255" s="13">
        <v>0</v>
      </c>
      <c r="P255" s="13">
        <v>0</v>
      </c>
      <c r="Q255" s="13">
        <v>1</v>
      </c>
      <c r="R255" s="13">
        <v>0</v>
      </c>
      <c r="S255" s="13">
        <v>0</v>
      </c>
    </row>
    <row r="256" spans="1:19" ht="15" customHeight="1" x14ac:dyDescent="0.35">
      <c r="A256" s="40" t="s">
        <v>107</v>
      </c>
      <c r="B256" s="41">
        <v>2017</v>
      </c>
      <c r="C256" s="42">
        <v>63.94</v>
      </c>
      <c r="D256" s="41" t="s">
        <v>72</v>
      </c>
      <c r="E256" s="43">
        <v>45.96</v>
      </c>
      <c r="F256" s="41" t="s">
        <v>22</v>
      </c>
      <c r="G256" s="43">
        <v>881.60472000000004</v>
      </c>
      <c r="H256" s="44">
        <v>1.3615843270868799</v>
      </c>
      <c r="I256" s="45">
        <v>4.1578999999999997</v>
      </c>
      <c r="J256" s="45">
        <v>3.8277999999999999</v>
      </c>
      <c r="K256" s="13">
        <v>0</v>
      </c>
      <c r="L256" s="13">
        <v>0</v>
      </c>
      <c r="M256" s="13">
        <v>1</v>
      </c>
      <c r="N256" s="13">
        <v>0</v>
      </c>
      <c r="O256" s="13">
        <v>0</v>
      </c>
      <c r="P256" s="13">
        <v>0</v>
      </c>
      <c r="Q256" s="13">
        <v>1</v>
      </c>
      <c r="R256" s="13">
        <v>0</v>
      </c>
      <c r="S256" s="13">
        <v>0</v>
      </c>
    </row>
    <row r="257" spans="1:19" ht="15" customHeight="1" x14ac:dyDescent="0.35">
      <c r="A257" s="34" t="s">
        <v>107</v>
      </c>
      <c r="B257" s="35">
        <v>2018</v>
      </c>
      <c r="C257" s="36">
        <v>74.45</v>
      </c>
      <c r="D257" s="35" t="s">
        <v>72</v>
      </c>
      <c r="E257" s="37">
        <v>45.36</v>
      </c>
      <c r="F257" s="35" t="s">
        <v>22</v>
      </c>
      <c r="G257" s="37">
        <v>1013.1156</v>
      </c>
      <c r="H257" s="38">
        <v>1.6059102674719601</v>
      </c>
      <c r="I257" s="39">
        <v>4.3101000000000003</v>
      </c>
      <c r="J257" s="39">
        <v>3.8146</v>
      </c>
      <c r="K257" s="13">
        <v>0</v>
      </c>
      <c r="L257" s="13">
        <v>0</v>
      </c>
      <c r="M257" s="13">
        <v>1</v>
      </c>
      <c r="N257" s="13">
        <v>0</v>
      </c>
      <c r="O257" s="13">
        <v>0</v>
      </c>
      <c r="P257" s="13">
        <v>0</v>
      </c>
      <c r="Q257" s="13">
        <v>1</v>
      </c>
      <c r="R257" s="13">
        <v>0</v>
      </c>
      <c r="S257" s="13">
        <v>0</v>
      </c>
    </row>
    <row r="258" spans="1:19" ht="15" customHeight="1" x14ac:dyDescent="0.35">
      <c r="A258" s="40" t="s">
        <v>107</v>
      </c>
      <c r="B258" s="41">
        <v>2019</v>
      </c>
      <c r="C258" s="42">
        <v>67.150000000000006</v>
      </c>
      <c r="D258" s="41" t="s">
        <v>72</v>
      </c>
      <c r="E258" s="43">
        <v>43.98</v>
      </c>
      <c r="F258" s="41" t="s">
        <v>22</v>
      </c>
      <c r="G258" s="43">
        <v>885.97709999999995</v>
      </c>
      <c r="H258" s="44">
        <v>1.49288572698977</v>
      </c>
      <c r="I258" s="45">
        <v>4.2069000000000001</v>
      </c>
      <c r="J258" s="45">
        <v>3.7837000000000001</v>
      </c>
      <c r="K258" s="13">
        <v>0</v>
      </c>
      <c r="L258" s="13">
        <v>0</v>
      </c>
      <c r="M258" s="13">
        <v>1</v>
      </c>
      <c r="N258" s="13">
        <v>0</v>
      </c>
      <c r="O258" s="13">
        <v>0</v>
      </c>
      <c r="P258" s="13">
        <v>0</v>
      </c>
      <c r="Q258" s="13">
        <v>1</v>
      </c>
      <c r="R258" s="13">
        <v>0</v>
      </c>
      <c r="S258" s="13">
        <v>0</v>
      </c>
    </row>
    <row r="259" spans="1:19" ht="15" customHeight="1" x14ac:dyDescent="0.35">
      <c r="A259" s="34" t="s">
        <v>107</v>
      </c>
      <c r="B259" s="35">
        <v>2020</v>
      </c>
      <c r="C259" s="36">
        <v>58.94</v>
      </c>
      <c r="D259" s="35" t="s">
        <v>72</v>
      </c>
      <c r="E259" s="37">
        <v>42.34</v>
      </c>
      <c r="F259" s="35" t="s">
        <v>22</v>
      </c>
      <c r="G259" s="37">
        <v>748.65588000000002</v>
      </c>
      <c r="H259" s="38">
        <v>1.35994462390402</v>
      </c>
      <c r="I259" s="39">
        <v>4.0765000000000002</v>
      </c>
      <c r="J259" s="39">
        <v>3.7456999999999998</v>
      </c>
      <c r="K259" s="13">
        <v>0</v>
      </c>
      <c r="L259" s="13">
        <v>0</v>
      </c>
      <c r="M259" s="13">
        <v>1</v>
      </c>
      <c r="N259" s="13">
        <v>0</v>
      </c>
      <c r="O259" s="13">
        <v>0</v>
      </c>
      <c r="P259" s="13">
        <v>0</v>
      </c>
      <c r="Q259" s="13">
        <v>1</v>
      </c>
      <c r="R259" s="13">
        <v>0</v>
      </c>
      <c r="S259" s="13">
        <v>0</v>
      </c>
    </row>
    <row r="260" spans="1:19" ht="15" customHeight="1" x14ac:dyDescent="0.35">
      <c r="A260" s="40" t="s">
        <v>107</v>
      </c>
      <c r="B260" s="41">
        <v>2021</v>
      </c>
      <c r="C260" s="42">
        <v>60.76</v>
      </c>
      <c r="D260" s="41" t="s">
        <v>72</v>
      </c>
      <c r="E260" s="43">
        <v>51.64</v>
      </c>
      <c r="F260" s="41" t="s">
        <v>22</v>
      </c>
      <c r="G260" s="43">
        <v>941.29391999999996</v>
      </c>
      <c r="H260" s="44">
        <v>1.15425531914894</v>
      </c>
      <c r="I260" s="45">
        <v>4.1069000000000004</v>
      </c>
      <c r="J260" s="45">
        <v>3.9443000000000001</v>
      </c>
      <c r="K260" s="13">
        <v>0</v>
      </c>
      <c r="L260" s="13">
        <v>0</v>
      </c>
      <c r="M260" s="13">
        <v>1</v>
      </c>
      <c r="N260" s="13">
        <v>0</v>
      </c>
      <c r="O260" s="13">
        <v>0</v>
      </c>
      <c r="P260" s="13">
        <v>0</v>
      </c>
      <c r="Q260" s="13">
        <v>1</v>
      </c>
      <c r="R260" s="13">
        <v>0</v>
      </c>
      <c r="S260" s="13">
        <v>0</v>
      </c>
    </row>
    <row r="261" spans="1:19" ht="15" customHeight="1" x14ac:dyDescent="0.35">
      <c r="A261" s="34" t="s">
        <v>107</v>
      </c>
      <c r="B261" s="35">
        <v>2022</v>
      </c>
      <c r="C261" s="36">
        <v>54.27</v>
      </c>
      <c r="D261" s="35" t="s">
        <v>72</v>
      </c>
      <c r="E261" s="37">
        <v>51.03</v>
      </c>
      <c r="F261" s="35" t="s">
        <v>22</v>
      </c>
      <c r="G261" s="37">
        <v>830.81943000000001</v>
      </c>
      <c r="H261" s="38">
        <v>1.04305208533538</v>
      </c>
      <c r="I261" s="39">
        <v>3.9940000000000002</v>
      </c>
      <c r="J261" s="39">
        <v>3.9323999999999999</v>
      </c>
      <c r="K261" s="13">
        <v>0</v>
      </c>
      <c r="L261" s="13">
        <v>0</v>
      </c>
      <c r="M261" s="13">
        <v>1</v>
      </c>
      <c r="N261" s="13">
        <v>0</v>
      </c>
      <c r="O261" s="13">
        <v>0</v>
      </c>
      <c r="P261" s="13">
        <v>0</v>
      </c>
      <c r="Q261" s="13">
        <v>1</v>
      </c>
      <c r="R261" s="13">
        <v>0</v>
      </c>
      <c r="S261" s="13">
        <v>0</v>
      </c>
    </row>
    <row r="262" spans="1:19" ht="15" customHeight="1" x14ac:dyDescent="0.35">
      <c r="A262" s="40" t="s">
        <v>107</v>
      </c>
      <c r="B262" s="41">
        <v>2023</v>
      </c>
      <c r="C262" s="42">
        <v>50.14</v>
      </c>
      <c r="D262" s="41" t="s">
        <v>72</v>
      </c>
      <c r="E262" s="43">
        <v>49.47</v>
      </c>
      <c r="F262" s="41" t="s">
        <v>22</v>
      </c>
      <c r="G262" s="43">
        <v>744.12774000000002</v>
      </c>
      <c r="H262" s="44">
        <v>0.99346146225480503</v>
      </c>
      <c r="I262" s="45">
        <v>3.9148000000000001</v>
      </c>
      <c r="J262" s="45">
        <v>3.9014000000000002</v>
      </c>
      <c r="K262" s="13">
        <v>0</v>
      </c>
      <c r="L262" s="13">
        <v>0</v>
      </c>
      <c r="M262" s="13">
        <v>1</v>
      </c>
      <c r="N262" s="13">
        <v>0</v>
      </c>
      <c r="O262" s="13">
        <v>0</v>
      </c>
      <c r="P262" s="13">
        <v>0</v>
      </c>
      <c r="Q262" s="13">
        <v>1</v>
      </c>
      <c r="R262" s="13">
        <v>0</v>
      </c>
      <c r="S262" s="13">
        <v>0</v>
      </c>
    </row>
    <row r="263" spans="1:19" ht="15" customHeight="1" x14ac:dyDescent="0.35">
      <c r="A263" s="34" t="s">
        <v>108</v>
      </c>
      <c r="B263" s="35">
        <v>2021</v>
      </c>
      <c r="C263" s="36">
        <v>19.66</v>
      </c>
      <c r="D263" s="35" t="s">
        <v>71</v>
      </c>
      <c r="E263" s="37">
        <v>844.41</v>
      </c>
      <c r="F263" s="35" t="s">
        <v>28</v>
      </c>
      <c r="G263" s="37">
        <v>4980.3301799999999</v>
      </c>
      <c r="H263" s="38">
        <v>2.32549887037059E-2</v>
      </c>
      <c r="I263" s="39">
        <v>2.9786000000000001</v>
      </c>
      <c r="J263" s="39">
        <v>6.7385999999999999</v>
      </c>
      <c r="K263" s="13">
        <v>0</v>
      </c>
      <c r="L263" s="13">
        <v>0</v>
      </c>
      <c r="M263" s="13">
        <v>0</v>
      </c>
      <c r="N263" s="13">
        <v>0</v>
      </c>
      <c r="O263" s="13">
        <v>0</v>
      </c>
      <c r="P263" s="13">
        <v>1</v>
      </c>
      <c r="Q263" s="13">
        <v>0</v>
      </c>
      <c r="R263" s="13">
        <v>1</v>
      </c>
      <c r="S263" s="13">
        <v>1</v>
      </c>
    </row>
    <row r="264" spans="1:19" ht="15" customHeight="1" x14ac:dyDescent="0.35">
      <c r="A264" s="40" t="s">
        <v>108</v>
      </c>
      <c r="B264" s="41">
        <v>2022</v>
      </c>
      <c r="C264" s="42">
        <v>23.1</v>
      </c>
      <c r="D264" s="41" t="s">
        <v>71</v>
      </c>
      <c r="E264" s="43">
        <v>857.27</v>
      </c>
      <c r="F264" s="41" t="s">
        <v>28</v>
      </c>
      <c r="G264" s="43">
        <v>5940.8810999999996</v>
      </c>
      <c r="H264" s="44">
        <v>2.6914607291411801E-2</v>
      </c>
      <c r="I264" s="45">
        <v>3.1398000000000001</v>
      </c>
      <c r="J264" s="45">
        <v>6.7538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  <c r="P264" s="13">
        <v>1</v>
      </c>
      <c r="Q264" s="13">
        <v>0</v>
      </c>
      <c r="R264" s="13">
        <v>1</v>
      </c>
      <c r="S264" s="13">
        <v>0</v>
      </c>
    </row>
    <row r="265" spans="1:19" ht="15" customHeight="1" x14ac:dyDescent="0.35">
      <c r="A265" s="34" t="s">
        <v>108</v>
      </c>
      <c r="B265" s="35">
        <v>2023</v>
      </c>
      <c r="C265" s="36">
        <v>20.87</v>
      </c>
      <c r="D265" s="35" t="s">
        <v>71</v>
      </c>
      <c r="E265" s="37">
        <v>875.95</v>
      </c>
      <c r="F265" s="35" t="s">
        <v>28</v>
      </c>
      <c r="G265" s="37">
        <v>5484.3229499999998</v>
      </c>
      <c r="H265" s="38">
        <v>2.3798392154626799E-2</v>
      </c>
      <c r="I265" s="39">
        <v>3.0383</v>
      </c>
      <c r="J265" s="39">
        <v>6.7752999999999997</v>
      </c>
      <c r="K265" s="13">
        <v>0</v>
      </c>
      <c r="L265" s="13">
        <v>0</v>
      </c>
      <c r="M265" s="13">
        <v>0</v>
      </c>
      <c r="N265" s="13">
        <v>0</v>
      </c>
      <c r="O265" s="13">
        <v>0</v>
      </c>
      <c r="P265" s="13">
        <v>1</v>
      </c>
      <c r="Q265" s="13">
        <v>0</v>
      </c>
      <c r="R265" s="13">
        <v>1</v>
      </c>
      <c r="S265" s="13">
        <v>0</v>
      </c>
    </row>
    <row r="266" spans="1:19" ht="15" customHeight="1" x14ac:dyDescent="0.35">
      <c r="A266" s="40" t="s">
        <v>109</v>
      </c>
      <c r="B266" s="41">
        <v>2017</v>
      </c>
      <c r="C266" s="42">
        <v>14.06</v>
      </c>
      <c r="D266" s="41" t="s">
        <v>71</v>
      </c>
      <c r="E266" s="43">
        <v>905.03</v>
      </c>
      <c r="F266" s="41" t="s">
        <v>28</v>
      </c>
      <c r="G266" s="43">
        <v>3817.4165400000002</v>
      </c>
      <c r="H266" s="44">
        <v>1.55182499475735E-2</v>
      </c>
      <c r="I266" s="45">
        <v>2.6433</v>
      </c>
      <c r="J266" s="45">
        <v>6.8079999999999998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  <c r="P266" s="13">
        <v>1</v>
      </c>
      <c r="Q266" s="13">
        <v>0</v>
      </c>
      <c r="R266" s="13">
        <v>1</v>
      </c>
      <c r="S266" s="13">
        <v>1</v>
      </c>
    </row>
    <row r="267" spans="1:19" ht="15" customHeight="1" x14ac:dyDescent="0.35">
      <c r="A267" s="34" t="s">
        <v>109</v>
      </c>
      <c r="B267" s="35">
        <v>2018</v>
      </c>
      <c r="C267" s="36">
        <v>11.7</v>
      </c>
      <c r="D267" s="35" t="s">
        <v>71</v>
      </c>
      <c r="E267" s="37">
        <v>923.96</v>
      </c>
      <c r="F267" s="35" t="s">
        <v>28</v>
      </c>
      <c r="G267" s="37">
        <v>3243.0996</v>
      </c>
      <c r="H267" s="38">
        <v>1.26491956408926E-2</v>
      </c>
      <c r="I267" s="39">
        <v>2.4596</v>
      </c>
      <c r="J267" s="39">
        <v>6.8287000000000004</v>
      </c>
      <c r="K267" s="13">
        <v>0</v>
      </c>
      <c r="L267" s="13">
        <v>0</v>
      </c>
      <c r="M267" s="13">
        <v>0</v>
      </c>
      <c r="N267" s="13">
        <v>0</v>
      </c>
      <c r="O267" s="13">
        <v>0</v>
      </c>
      <c r="P267" s="13">
        <v>1</v>
      </c>
      <c r="Q267" s="13">
        <v>0</v>
      </c>
      <c r="R267" s="13">
        <v>1</v>
      </c>
      <c r="S267" s="13">
        <v>0</v>
      </c>
    </row>
    <row r="268" spans="1:19" ht="15" customHeight="1" x14ac:dyDescent="0.35">
      <c r="A268" s="40" t="s">
        <v>109</v>
      </c>
      <c r="B268" s="41">
        <v>2022</v>
      </c>
      <c r="C268" s="42">
        <v>31.97</v>
      </c>
      <c r="D268" s="41" t="s">
        <v>71</v>
      </c>
      <c r="E268" s="43">
        <v>857.27</v>
      </c>
      <c r="F268" s="41" t="s">
        <v>28</v>
      </c>
      <c r="G268" s="43">
        <v>8222.0765699999993</v>
      </c>
      <c r="H268" s="44">
        <v>3.7249350437508003E-2</v>
      </c>
      <c r="I268" s="45">
        <v>3.4647999999999999</v>
      </c>
      <c r="J268" s="45">
        <v>6.7538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  <c r="P268" s="13">
        <v>1</v>
      </c>
      <c r="Q268" s="13">
        <v>0</v>
      </c>
      <c r="R268" s="13">
        <v>1</v>
      </c>
      <c r="S268" s="13">
        <v>0</v>
      </c>
    </row>
    <row r="269" spans="1:19" ht="15" customHeight="1" x14ac:dyDescent="0.35">
      <c r="A269" s="34" t="s">
        <v>109</v>
      </c>
      <c r="B269" s="35">
        <v>2023</v>
      </c>
      <c r="C269" s="36">
        <v>48.03</v>
      </c>
      <c r="D269" s="35" t="s">
        <v>71</v>
      </c>
      <c r="E269" s="37">
        <v>875.95</v>
      </c>
      <c r="F269" s="35" t="s">
        <v>28</v>
      </c>
      <c r="G269" s="37">
        <v>12621.563550000001</v>
      </c>
      <c r="H269" s="38">
        <v>5.4769371115799097E-2</v>
      </c>
      <c r="I269" s="39">
        <v>3.8717999999999999</v>
      </c>
      <c r="J269" s="39">
        <v>6.7752999999999997</v>
      </c>
      <c r="K269" s="13">
        <v>0</v>
      </c>
      <c r="L269" s="13">
        <v>0</v>
      </c>
      <c r="M269" s="13">
        <v>0</v>
      </c>
      <c r="N269" s="13">
        <v>0</v>
      </c>
      <c r="O269" s="13">
        <v>0</v>
      </c>
      <c r="P269" s="13">
        <v>1</v>
      </c>
      <c r="Q269" s="13">
        <v>0</v>
      </c>
      <c r="R269" s="13">
        <v>1</v>
      </c>
      <c r="S269" s="13">
        <v>0</v>
      </c>
    </row>
    <row r="270" spans="1:19" ht="15" customHeight="1" x14ac:dyDescent="0.35">
      <c r="A270" s="40" t="s">
        <v>110</v>
      </c>
      <c r="B270" s="41">
        <v>2015</v>
      </c>
      <c r="C270" s="42">
        <v>3.88</v>
      </c>
      <c r="D270" s="41" t="s">
        <v>72</v>
      </c>
      <c r="E270" s="43">
        <v>352.81</v>
      </c>
      <c r="F270" s="41" t="s">
        <v>22</v>
      </c>
      <c r="G270" s="43">
        <v>410.67084</v>
      </c>
      <c r="H270" s="44">
        <v>1.0966337864955799E-2</v>
      </c>
      <c r="I270" s="45">
        <v>1.3557999999999999</v>
      </c>
      <c r="J270" s="45">
        <v>5.8658999999999999</v>
      </c>
      <c r="K270" s="13">
        <v>0</v>
      </c>
      <c r="L270" s="13">
        <v>0</v>
      </c>
      <c r="M270" s="13">
        <v>1</v>
      </c>
      <c r="N270" s="13">
        <v>0</v>
      </c>
      <c r="O270" s="13">
        <v>0</v>
      </c>
      <c r="P270" s="13">
        <v>0</v>
      </c>
      <c r="Q270" s="13">
        <v>1</v>
      </c>
      <c r="R270" s="13">
        <v>0</v>
      </c>
      <c r="S270" s="13">
        <v>1</v>
      </c>
    </row>
    <row r="271" spans="1:19" ht="15" customHeight="1" x14ac:dyDescent="0.35">
      <c r="A271" s="34" t="s">
        <v>110</v>
      </c>
      <c r="B271" s="35">
        <v>2016</v>
      </c>
      <c r="C271" s="36">
        <v>3.96</v>
      </c>
      <c r="D271" s="35" t="s">
        <v>72</v>
      </c>
      <c r="E271" s="37">
        <v>376.66</v>
      </c>
      <c r="F271" s="35" t="s">
        <v>22</v>
      </c>
      <c r="G271" s="37">
        <v>447.47208000000001</v>
      </c>
      <c r="H271" s="38">
        <v>1.04856219880316E-2</v>
      </c>
      <c r="I271" s="39">
        <v>1.3762000000000001</v>
      </c>
      <c r="J271" s="39">
        <v>5.9313000000000002</v>
      </c>
      <c r="K271" s="13">
        <v>0</v>
      </c>
      <c r="L271" s="13">
        <v>0</v>
      </c>
      <c r="M271" s="13">
        <v>1</v>
      </c>
      <c r="N271" s="13">
        <v>0</v>
      </c>
      <c r="O271" s="13">
        <v>0</v>
      </c>
      <c r="P271" s="13">
        <v>0</v>
      </c>
      <c r="Q271" s="13">
        <v>1</v>
      </c>
      <c r="R271" s="13">
        <v>0</v>
      </c>
      <c r="S271" s="13">
        <v>0</v>
      </c>
    </row>
    <row r="272" spans="1:19" ht="15" customHeight="1" x14ac:dyDescent="0.35">
      <c r="A272" s="40" t="s">
        <v>110</v>
      </c>
      <c r="B272" s="41">
        <v>2017</v>
      </c>
      <c r="C272" s="42">
        <v>2.99</v>
      </c>
      <c r="D272" s="41" t="s">
        <v>72</v>
      </c>
      <c r="E272" s="43">
        <v>389.14</v>
      </c>
      <c r="F272" s="41" t="s">
        <v>22</v>
      </c>
      <c r="G272" s="43">
        <v>349.05858000000001</v>
      </c>
      <c r="H272" s="44">
        <v>7.6639155175065397E-3</v>
      </c>
      <c r="I272" s="45">
        <v>1.0952999999999999</v>
      </c>
      <c r="J272" s="45">
        <v>5.9638999999999998</v>
      </c>
      <c r="K272" s="13">
        <v>0</v>
      </c>
      <c r="L272" s="13">
        <v>0</v>
      </c>
      <c r="M272" s="13">
        <v>1</v>
      </c>
      <c r="N272" s="13">
        <v>0</v>
      </c>
      <c r="O272" s="13">
        <v>0</v>
      </c>
      <c r="P272" s="13">
        <v>0</v>
      </c>
      <c r="Q272" s="13">
        <v>1</v>
      </c>
      <c r="R272" s="13">
        <v>0</v>
      </c>
      <c r="S272" s="13">
        <v>0</v>
      </c>
    </row>
    <row r="273" spans="1:19" ht="15" customHeight="1" x14ac:dyDescent="0.35">
      <c r="A273" s="34" t="s">
        <v>110</v>
      </c>
      <c r="B273" s="35">
        <v>2018</v>
      </c>
      <c r="C273" s="36">
        <v>3.48</v>
      </c>
      <c r="D273" s="35" t="s">
        <v>72</v>
      </c>
      <c r="E273" s="37">
        <v>386.99</v>
      </c>
      <c r="F273" s="35" t="s">
        <v>22</v>
      </c>
      <c r="G273" s="37">
        <v>404.01756</v>
      </c>
      <c r="H273" s="38">
        <v>8.9693033325601197E-3</v>
      </c>
      <c r="I273" s="39">
        <v>1.2470000000000001</v>
      </c>
      <c r="J273" s="39">
        <v>5.9584000000000001</v>
      </c>
      <c r="K273" s="13">
        <v>0</v>
      </c>
      <c r="L273" s="13">
        <v>0</v>
      </c>
      <c r="M273" s="13">
        <v>1</v>
      </c>
      <c r="N273" s="13">
        <v>0</v>
      </c>
      <c r="O273" s="13">
        <v>0</v>
      </c>
      <c r="P273" s="13">
        <v>0</v>
      </c>
      <c r="Q273" s="13">
        <v>1</v>
      </c>
      <c r="R273" s="13">
        <v>0</v>
      </c>
      <c r="S273" s="13">
        <v>0</v>
      </c>
    </row>
    <row r="274" spans="1:19" ht="15" customHeight="1" x14ac:dyDescent="0.35">
      <c r="A274" s="40" t="s">
        <v>110</v>
      </c>
      <c r="B274" s="41">
        <v>2019</v>
      </c>
      <c r="C274" s="42">
        <v>3.15</v>
      </c>
      <c r="D274" s="41" t="s">
        <v>72</v>
      </c>
      <c r="E274" s="43">
        <v>368.59</v>
      </c>
      <c r="F274" s="41" t="s">
        <v>22</v>
      </c>
      <c r="G274" s="43">
        <v>348.31754999999998</v>
      </c>
      <c r="H274" s="44">
        <v>8.5229578722367996E-3</v>
      </c>
      <c r="I274" s="45">
        <v>1.1474</v>
      </c>
      <c r="J274" s="45">
        <v>5.9097</v>
      </c>
      <c r="K274" s="13">
        <v>0</v>
      </c>
      <c r="L274" s="13">
        <v>0</v>
      </c>
      <c r="M274" s="13">
        <v>1</v>
      </c>
      <c r="N274" s="13">
        <v>0</v>
      </c>
      <c r="O274" s="13">
        <v>0</v>
      </c>
      <c r="P274" s="13">
        <v>0</v>
      </c>
      <c r="Q274" s="13">
        <v>1</v>
      </c>
      <c r="R274" s="13">
        <v>0</v>
      </c>
      <c r="S274" s="13">
        <v>0</v>
      </c>
    </row>
    <row r="275" spans="1:19" ht="15" customHeight="1" x14ac:dyDescent="0.35">
      <c r="A275" s="34" t="s">
        <v>110</v>
      </c>
      <c r="B275" s="35">
        <v>2020</v>
      </c>
      <c r="C275" s="36">
        <v>2.93</v>
      </c>
      <c r="D275" s="35" t="s">
        <v>72</v>
      </c>
      <c r="E275" s="37">
        <v>350.9</v>
      </c>
      <c r="F275" s="35" t="s">
        <v>22</v>
      </c>
      <c r="G275" s="37">
        <v>308.44110000000001</v>
      </c>
      <c r="H275" s="38">
        <v>8.3262290423415809E-3</v>
      </c>
      <c r="I275" s="39">
        <v>1.075</v>
      </c>
      <c r="J275" s="39">
        <v>5.8605</v>
      </c>
      <c r="K275" s="13">
        <v>0</v>
      </c>
      <c r="L275" s="13">
        <v>0</v>
      </c>
      <c r="M275" s="13">
        <v>1</v>
      </c>
      <c r="N275" s="13">
        <v>0</v>
      </c>
      <c r="O275" s="13">
        <v>0</v>
      </c>
      <c r="P275" s="13">
        <v>0</v>
      </c>
      <c r="Q275" s="13">
        <v>1</v>
      </c>
      <c r="R275" s="13">
        <v>0</v>
      </c>
      <c r="S275" s="13">
        <v>0</v>
      </c>
    </row>
    <row r="276" spans="1:19" ht="15" customHeight="1" x14ac:dyDescent="0.35">
      <c r="A276" s="40" t="s">
        <v>110</v>
      </c>
      <c r="B276" s="41">
        <v>2021</v>
      </c>
      <c r="C276" s="42">
        <v>3.17</v>
      </c>
      <c r="D276" s="41" t="s">
        <v>72</v>
      </c>
      <c r="E276" s="43">
        <v>399.18</v>
      </c>
      <c r="F276" s="41" t="s">
        <v>22</v>
      </c>
      <c r="G276" s="43">
        <v>379.62018</v>
      </c>
      <c r="H276" s="44">
        <v>7.9214353540906605E-3</v>
      </c>
      <c r="I276" s="45">
        <v>1.1536999999999999</v>
      </c>
      <c r="J276" s="45">
        <v>5.9893999999999998</v>
      </c>
      <c r="K276" s="13">
        <v>0</v>
      </c>
      <c r="L276" s="13">
        <v>0</v>
      </c>
      <c r="M276" s="13">
        <v>1</v>
      </c>
      <c r="N276" s="13">
        <v>0</v>
      </c>
      <c r="O276" s="13">
        <v>0</v>
      </c>
      <c r="P276" s="13">
        <v>0</v>
      </c>
      <c r="Q276" s="13">
        <v>1</v>
      </c>
      <c r="R276" s="13">
        <v>0</v>
      </c>
      <c r="S276" s="13">
        <v>0</v>
      </c>
    </row>
    <row r="277" spans="1:19" ht="15" customHeight="1" x14ac:dyDescent="0.35">
      <c r="A277" s="34" t="s">
        <v>110</v>
      </c>
      <c r="B277" s="35">
        <v>2022</v>
      </c>
      <c r="C277" s="36">
        <v>3.08</v>
      </c>
      <c r="D277" s="35" t="s">
        <v>72</v>
      </c>
      <c r="E277" s="37">
        <v>383.98</v>
      </c>
      <c r="F277" s="35" t="s">
        <v>22</v>
      </c>
      <c r="G277" s="37">
        <v>354.79752000000002</v>
      </c>
      <c r="H277" s="38">
        <v>8.00041560600551E-3</v>
      </c>
      <c r="I277" s="39">
        <v>1.1249</v>
      </c>
      <c r="J277" s="39">
        <v>5.9505999999999997</v>
      </c>
      <c r="K277" s="13">
        <v>0</v>
      </c>
      <c r="L277" s="13">
        <v>0</v>
      </c>
      <c r="M277" s="13">
        <v>1</v>
      </c>
      <c r="N277" s="13">
        <v>0</v>
      </c>
      <c r="O277" s="13">
        <v>0</v>
      </c>
      <c r="P277" s="13">
        <v>0</v>
      </c>
      <c r="Q277" s="13">
        <v>1</v>
      </c>
      <c r="R277" s="13">
        <v>0</v>
      </c>
      <c r="S277" s="13">
        <v>0</v>
      </c>
    </row>
    <row r="278" spans="1:19" ht="15" customHeight="1" x14ac:dyDescent="0.35">
      <c r="A278" s="40" t="s">
        <v>110</v>
      </c>
      <c r="B278" s="41">
        <v>2023</v>
      </c>
      <c r="C278" s="42">
        <v>3.17</v>
      </c>
      <c r="D278" s="41" t="s">
        <v>72</v>
      </c>
      <c r="E278" s="43">
        <v>354.9</v>
      </c>
      <c r="F278" s="41" t="s">
        <v>22</v>
      </c>
      <c r="G278" s="43">
        <v>337.50990000000002</v>
      </c>
      <c r="H278" s="44">
        <v>8.9069963472885698E-3</v>
      </c>
      <c r="I278" s="45">
        <v>1.1536999999999999</v>
      </c>
      <c r="J278" s="45">
        <v>5.8718000000000004</v>
      </c>
      <c r="K278" s="13">
        <v>0</v>
      </c>
      <c r="L278" s="13">
        <v>0</v>
      </c>
      <c r="M278" s="13">
        <v>1</v>
      </c>
      <c r="N278" s="13">
        <v>0</v>
      </c>
      <c r="O278" s="13">
        <v>0</v>
      </c>
      <c r="P278" s="13">
        <v>0</v>
      </c>
      <c r="Q278" s="13">
        <v>1</v>
      </c>
      <c r="R278" s="13">
        <v>0</v>
      </c>
      <c r="S278" s="13">
        <v>0</v>
      </c>
    </row>
    <row r="279" spans="1:19" ht="15" customHeight="1" x14ac:dyDescent="0.35">
      <c r="A279" s="34" t="s">
        <v>111</v>
      </c>
      <c r="B279" s="35">
        <v>2015</v>
      </c>
      <c r="C279" s="36">
        <v>4.5</v>
      </c>
      <c r="D279" s="35" t="s">
        <v>72</v>
      </c>
      <c r="E279" s="37">
        <v>65.819999999999993</v>
      </c>
      <c r="F279" s="35" t="s">
        <v>22</v>
      </c>
      <c r="G279" s="37">
        <v>88.856999999999999</v>
      </c>
      <c r="H279" s="38">
        <v>6.7345106255612103E-2</v>
      </c>
      <c r="I279" s="39">
        <v>1.5041</v>
      </c>
      <c r="J279" s="39">
        <v>4.1868999999999996</v>
      </c>
      <c r="K279" s="13">
        <v>0</v>
      </c>
      <c r="L279" s="13">
        <v>0</v>
      </c>
      <c r="M279" s="13">
        <v>1</v>
      </c>
      <c r="N279" s="13">
        <v>0</v>
      </c>
      <c r="O279" s="13">
        <v>0</v>
      </c>
      <c r="P279" s="13">
        <v>0</v>
      </c>
      <c r="Q279" s="13">
        <v>1</v>
      </c>
      <c r="R279" s="13">
        <v>0</v>
      </c>
      <c r="S279" s="13">
        <v>1</v>
      </c>
    </row>
    <row r="280" spans="1:19" ht="15" customHeight="1" x14ac:dyDescent="0.35">
      <c r="A280" s="40" t="s">
        <v>111</v>
      </c>
      <c r="B280" s="41">
        <v>2016</v>
      </c>
      <c r="C280" s="42">
        <v>7.26</v>
      </c>
      <c r="D280" s="41" t="s">
        <v>72</v>
      </c>
      <c r="E280" s="43">
        <v>69.77</v>
      </c>
      <c r="F280" s="41" t="s">
        <v>22</v>
      </c>
      <c r="G280" s="43">
        <v>151.95905999999999</v>
      </c>
      <c r="H280" s="44">
        <v>0.10258584145824499</v>
      </c>
      <c r="I280" s="45">
        <v>1.9823999999999999</v>
      </c>
      <c r="J280" s="45">
        <v>4.2451999999999996</v>
      </c>
      <c r="K280" s="13">
        <v>0</v>
      </c>
      <c r="L280" s="13">
        <v>0</v>
      </c>
      <c r="M280" s="13">
        <v>1</v>
      </c>
      <c r="N280" s="13">
        <v>0</v>
      </c>
      <c r="O280" s="13">
        <v>0</v>
      </c>
      <c r="P280" s="13">
        <v>0</v>
      </c>
      <c r="Q280" s="13">
        <v>1</v>
      </c>
      <c r="R280" s="13">
        <v>0</v>
      </c>
      <c r="S280" s="13">
        <v>0</v>
      </c>
    </row>
    <row r="281" spans="1:19" ht="15" customHeight="1" x14ac:dyDescent="0.35">
      <c r="A281" s="34" t="s">
        <v>111</v>
      </c>
      <c r="B281" s="35">
        <v>2017</v>
      </c>
      <c r="C281" s="36">
        <v>6.97</v>
      </c>
      <c r="D281" s="35" t="s">
        <v>72</v>
      </c>
      <c r="E281" s="37">
        <v>75.150000000000006</v>
      </c>
      <c r="F281" s="35" t="s">
        <v>22</v>
      </c>
      <c r="G281" s="37">
        <v>157.13865000000001</v>
      </c>
      <c r="H281" s="38">
        <v>9.1529875246224607E-2</v>
      </c>
      <c r="I281" s="39">
        <v>1.9416</v>
      </c>
      <c r="J281" s="39">
        <v>4.3194999999999997</v>
      </c>
      <c r="K281" s="13">
        <v>0</v>
      </c>
      <c r="L281" s="13">
        <v>0</v>
      </c>
      <c r="M281" s="13">
        <v>1</v>
      </c>
      <c r="N281" s="13">
        <v>0</v>
      </c>
      <c r="O281" s="13">
        <v>0</v>
      </c>
      <c r="P281" s="13">
        <v>0</v>
      </c>
      <c r="Q281" s="13">
        <v>1</v>
      </c>
      <c r="R281" s="13">
        <v>0</v>
      </c>
      <c r="S281" s="13">
        <v>0</v>
      </c>
    </row>
    <row r="282" spans="1:19" ht="15" customHeight="1" x14ac:dyDescent="0.35">
      <c r="A282" s="40" t="s">
        <v>111</v>
      </c>
      <c r="B282" s="41">
        <v>2018</v>
      </c>
      <c r="C282" s="42">
        <v>6.86</v>
      </c>
      <c r="D282" s="41" t="s">
        <v>72</v>
      </c>
      <c r="E282" s="43">
        <v>70.3</v>
      </c>
      <c r="F282" s="41" t="s">
        <v>22</v>
      </c>
      <c r="G282" s="43">
        <v>144.67740000000001</v>
      </c>
      <c r="H282" s="44">
        <v>9.6213183730715302E-2</v>
      </c>
      <c r="I282" s="45">
        <v>1.9257</v>
      </c>
      <c r="J282" s="45">
        <v>4.2527999999999997</v>
      </c>
      <c r="K282" s="13">
        <v>0</v>
      </c>
      <c r="L282" s="13">
        <v>0</v>
      </c>
      <c r="M282" s="13">
        <v>1</v>
      </c>
      <c r="N282" s="13">
        <v>0</v>
      </c>
      <c r="O282" s="13">
        <v>0</v>
      </c>
      <c r="P282" s="13">
        <v>0</v>
      </c>
      <c r="Q282" s="13">
        <v>1</v>
      </c>
      <c r="R282" s="13">
        <v>0</v>
      </c>
      <c r="S282" s="13">
        <v>0</v>
      </c>
    </row>
    <row r="283" spans="1:19" ht="15" customHeight="1" x14ac:dyDescent="0.35">
      <c r="A283" s="34" t="s">
        <v>111</v>
      </c>
      <c r="B283" s="35">
        <v>2019</v>
      </c>
      <c r="C283" s="36">
        <v>12.78</v>
      </c>
      <c r="D283" s="35" t="s">
        <v>72</v>
      </c>
      <c r="E283" s="37">
        <v>65.69</v>
      </c>
      <c r="F283" s="35" t="s">
        <v>22</v>
      </c>
      <c r="G283" s="37">
        <v>251.85545999999999</v>
      </c>
      <c r="H283" s="38">
        <v>0.19163292847503399</v>
      </c>
      <c r="I283" s="39">
        <v>2.5478999999999998</v>
      </c>
      <c r="J283" s="39">
        <v>4.1848999999999998</v>
      </c>
      <c r="K283" s="13">
        <v>0</v>
      </c>
      <c r="L283" s="13">
        <v>0</v>
      </c>
      <c r="M283" s="13">
        <v>1</v>
      </c>
      <c r="N283" s="13">
        <v>0</v>
      </c>
      <c r="O283" s="13">
        <v>0</v>
      </c>
      <c r="P283" s="13">
        <v>0</v>
      </c>
      <c r="Q283" s="13">
        <v>1</v>
      </c>
      <c r="R283" s="13">
        <v>0</v>
      </c>
      <c r="S283" s="13">
        <v>0</v>
      </c>
    </row>
    <row r="284" spans="1:19" ht="15" customHeight="1" x14ac:dyDescent="0.35">
      <c r="A284" s="40" t="s">
        <v>111</v>
      </c>
      <c r="B284" s="41">
        <v>2020</v>
      </c>
      <c r="C284" s="42">
        <v>37.270000000000003</v>
      </c>
      <c r="D284" s="41" t="s">
        <v>72</v>
      </c>
      <c r="E284" s="43">
        <v>60.05</v>
      </c>
      <c r="F284" s="41" t="s">
        <v>22</v>
      </c>
      <c r="G284" s="43">
        <v>671.41904999999997</v>
      </c>
      <c r="H284" s="44">
        <v>0.61048321048321097</v>
      </c>
      <c r="I284" s="45">
        <v>3.6181999999999999</v>
      </c>
      <c r="J284" s="45">
        <v>4.0952000000000002</v>
      </c>
      <c r="K284" s="13">
        <v>0</v>
      </c>
      <c r="L284" s="13">
        <v>0</v>
      </c>
      <c r="M284" s="13">
        <v>1</v>
      </c>
      <c r="N284" s="13">
        <v>0</v>
      </c>
      <c r="O284" s="13">
        <v>0</v>
      </c>
      <c r="P284" s="13">
        <v>0</v>
      </c>
      <c r="Q284" s="13">
        <v>1</v>
      </c>
      <c r="R284" s="13">
        <v>0</v>
      </c>
      <c r="S284" s="13">
        <v>0</v>
      </c>
    </row>
    <row r="285" spans="1:19" ht="15" customHeight="1" x14ac:dyDescent="0.35">
      <c r="A285" s="34" t="s">
        <v>111</v>
      </c>
      <c r="B285" s="35">
        <v>2021</v>
      </c>
      <c r="C285" s="36">
        <v>27.99</v>
      </c>
      <c r="D285" s="35" t="s">
        <v>72</v>
      </c>
      <c r="E285" s="37">
        <v>52.81</v>
      </c>
      <c r="F285" s="35" t="s">
        <v>22</v>
      </c>
      <c r="G285" s="37">
        <v>443.44556999999998</v>
      </c>
      <c r="H285" s="38">
        <v>0.52016353837576701</v>
      </c>
      <c r="I285" s="39">
        <v>3.3317999999999999</v>
      </c>
      <c r="J285" s="39">
        <v>3.9666999999999999</v>
      </c>
      <c r="K285" s="13">
        <v>0</v>
      </c>
      <c r="L285" s="13">
        <v>0</v>
      </c>
      <c r="M285" s="13">
        <v>1</v>
      </c>
      <c r="N285" s="13">
        <v>0</v>
      </c>
      <c r="O285" s="13">
        <v>0</v>
      </c>
      <c r="P285" s="13">
        <v>0</v>
      </c>
      <c r="Q285" s="13">
        <v>1</v>
      </c>
      <c r="R285" s="13">
        <v>0</v>
      </c>
      <c r="S285" s="13">
        <v>0</v>
      </c>
    </row>
    <row r="286" spans="1:19" ht="15" customHeight="1" x14ac:dyDescent="0.35">
      <c r="A286" s="40" t="s">
        <v>111</v>
      </c>
      <c r="B286" s="41">
        <v>2022</v>
      </c>
      <c r="C286" s="42">
        <v>26.34</v>
      </c>
      <c r="D286" s="41" t="s">
        <v>72</v>
      </c>
      <c r="E286" s="43">
        <v>53.58</v>
      </c>
      <c r="F286" s="41" t="s">
        <v>22</v>
      </c>
      <c r="G286" s="43">
        <v>423.38916</v>
      </c>
      <c r="H286" s="44">
        <v>0.48259435690729202</v>
      </c>
      <c r="I286" s="45">
        <v>3.2711000000000001</v>
      </c>
      <c r="J286" s="45">
        <v>3.9811999999999999</v>
      </c>
      <c r="K286" s="13">
        <v>0</v>
      </c>
      <c r="L286" s="13">
        <v>0</v>
      </c>
      <c r="M286" s="13">
        <v>1</v>
      </c>
      <c r="N286" s="13">
        <v>0</v>
      </c>
      <c r="O286" s="13">
        <v>0</v>
      </c>
      <c r="P286" s="13">
        <v>0</v>
      </c>
      <c r="Q286" s="13">
        <v>1</v>
      </c>
      <c r="R286" s="13">
        <v>0</v>
      </c>
      <c r="S286" s="13">
        <v>0</v>
      </c>
    </row>
    <row r="287" spans="1:19" ht="15" customHeight="1" x14ac:dyDescent="0.35">
      <c r="A287" s="34" t="s">
        <v>111</v>
      </c>
      <c r="B287" s="35">
        <v>2023</v>
      </c>
      <c r="C287" s="36">
        <v>25.92</v>
      </c>
      <c r="D287" s="35" t="s">
        <v>72</v>
      </c>
      <c r="E287" s="37">
        <v>51.44</v>
      </c>
      <c r="F287" s="35" t="s">
        <v>22</v>
      </c>
      <c r="G287" s="37">
        <v>399.99743999999998</v>
      </c>
      <c r="H287" s="38">
        <v>0.49427917620137302</v>
      </c>
      <c r="I287" s="39">
        <v>3.2549999999999999</v>
      </c>
      <c r="J287" s="39">
        <v>3.9403999999999999</v>
      </c>
      <c r="K287" s="13">
        <v>0</v>
      </c>
      <c r="L287" s="13">
        <v>0</v>
      </c>
      <c r="M287" s="13">
        <v>1</v>
      </c>
      <c r="N287" s="13">
        <v>0</v>
      </c>
      <c r="O287" s="13">
        <v>0</v>
      </c>
      <c r="P287" s="13">
        <v>0</v>
      </c>
      <c r="Q287" s="13">
        <v>1</v>
      </c>
      <c r="R287" s="13">
        <v>0</v>
      </c>
      <c r="S287" s="13">
        <v>0</v>
      </c>
    </row>
    <row r="288" spans="1:19" ht="15" customHeight="1" x14ac:dyDescent="0.35">
      <c r="A288" s="40" t="s">
        <v>112</v>
      </c>
      <c r="B288" s="41">
        <v>2019</v>
      </c>
      <c r="C288" s="42">
        <v>15</v>
      </c>
      <c r="D288" s="41" t="s">
        <v>72</v>
      </c>
      <c r="E288" s="43">
        <v>915.12</v>
      </c>
      <c r="F288" s="41" t="s">
        <v>28</v>
      </c>
      <c r="G288" s="43">
        <v>4118.04</v>
      </c>
      <c r="H288" s="44">
        <v>1.6373400864515601E-2</v>
      </c>
      <c r="I288" s="45">
        <v>2.7081</v>
      </c>
      <c r="J288" s="45">
        <v>6.8190999999999997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  <c r="P288" s="13">
        <v>1</v>
      </c>
      <c r="Q288" s="13">
        <v>1</v>
      </c>
      <c r="R288" s="13">
        <v>0</v>
      </c>
      <c r="S288" s="13">
        <v>1</v>
      </c>
    </row>
    <row r="289" spans="1:19" ht="15" customHeight="1" x14ac:dyDescent="0.35">
      <c r="A289" s="34" t="s">
        <v>112</v>
      </c>
      <c r="B289" s="35">
        <v>2020</v>
      </c>
      <c r="C289" s="36">
        <v>21.1</v>
      </c>
      <c r="D289" s="35" t="s">
        <v>72</v>
      </c>
      <c r="E289" s="37">
        <v>853.61</v>
      </c>
      <c r="F289" s="35" t="s">
        <v>28</v>
      </c>
      <c r="G289" s="37">
        <v>5403.3513000000003</v>
      </c>
      <c r="H289" s="38">
        <v>2.46896245070851E-2</v>
      </c>
      <c r="I289" s="39">
        <v>3.0493000000000001</v>
      </c>
      <c r="J289" s="39">
        <v>6.7495000000000003</v>
      </c>
      <c r="K289" s="13">
        <v>0</v>
      </c>
      <c r="L289" s="13">
        <v>0</v>
      </c>
      <c r="M289" s="13">
        <v>0</v>
      </c>
      <c r="N289" s="13">
        <v>0</v>
      </c>
      <c r="O289" s="13">
        <v>0</v>
      </c>
      <c r="P289" s="13">
        <v>1</v>
      </c>
      <c r="Q289" s="13">
        <v>1</v>
      </c>
      <c r="R289" s="13">
        <v>0</v>
      </c>
      <c r="S289" s="13">
        <v>0</v>
      </c>
    </row>
    <row r="290" spans="1:19" ht="15" customHeight="1" x14ac:dyDescent="0.35">
      <c r="A290" s="40" t="s">
        <v>112</v>
      </c>
      <c r="B290" s="41">
        <v>2021</v>
      </c>
      <c r="C290" s="42">
        <v>23.88</v>
      </c>
      <c r="D290" s="41" t="s">
        <v>72</v>
      </c>
      <c r="E290" s="43">
        <v>844.41</v>
      </c>
      <c r="F290" s="41" t="s">
        <v>28</v>
      </c>
      <c r="G290" s="43">
        <v>6049.3532400000004</v>
      </c>
      <c r="H290" s="44">
        <v>2.8246649554653998E-2</v>
      </c>
      <c r="I290" s="45">
        <v>3.173</v>
      </c>
      <c r="J290" s="45">
        <v>6.7385999999999999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  <c r="P290" s="13">
        <v>1</v>
      </c>
      <c r="Q290" s="13">
        <v>1</v>
      </c>
      <c r="R290" s="13">
        <v>0</v>
      </c>
      <c r="S290" s="13">
        <v>0</v>
      </c>
    </row>
    <row r="291" spans="1:19" ht="15" customHeight="1" x14ac:dyDescent="0.35">
      <c r="A291" s="34" t="s">
        <v>112</v>
      </c>
      <c r="B291" s="35">
        <v>2022</v>
      </c>
      <c r="C291" s="36">
        <v>23.98</v>
      </c>
      <c r="D291" s="35" t="s">
        <v>72</v>
      </c>
      <c r="E291" s="37">
        <v>857.27</v>
      </c>
      <c r="F291" s="35" t="s">
        <v>28</v>
      </c>
      <c r="G291" s="37">
        <v>6167.2003800000002</v>
      </c>
      <c r="H291" s="38">
        <v>2.7939925664418001E-2</v>
      </c>
      <c r="I291" s="39">
        <v>3.1772</v>
      </c>
      <c r="J291" s="39">
        <v>6.7538</v>
      </c>
      <c r="K291" s="13">
        <v>0</v>
      </c>
      <c r="L291" s="13">
        <v>0</v>
      </c>
      <c r="M291" s="13">
        <v>0</v>
      </c>
      <c r="N291" s="13">
        <v>0</v>
      </c>
      <c r="O291" s="13">
        <v>0</v>
      </c>
      <c r="P291" s="13">
        <v>1</v>
      </c>
      <c r="Q291" s="13">
        <v>1</v>
      </c>
      <c r="R291" s="13">
        <v>0</v>
      </c>
      <c r="S291" s="13">
        <v>0</v>
      </c>
    </row>
    <row r="292" spans="1:19" ht="15" customHeight="1" x14ac:dyDescent="0.35">
      <c r="A292" s="40" t="s">
        <v>112</v>
      </c>
      <c r="B292" s="41">
        <v>2023</v>
      </c>
      <c r="C292" s="42">
        <v>36.950000000000003</v>
      </c>
      <c r="D292" s="41" t="s">
        <v>72</v>
      </c>
      <c r="E292" s="43">
        <v>875.95</v>
      </c>
      <c r="F292" s="41" t="s">
        <v>28</v>
      </c>
      <c r="G292" s="43">
        <v>9709.9057499999999</v>
      </c>
      <c r="H292" s="44">
        <v>4.2134671303951203E-2</v>
      </c>
      <c r="I292" s="45">
        <v>3.6095999999999999</v>
      </c>
      <c r="J292" s="45">
        <v>6.7752999999999997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  <c r="P292" s="13">
        <v>1</v>
      </c>
      <c r="Q292" s="13">
        <v>1</v>
      </c>
      <c r="R292" s="13">
        <v>0</v>
      </c>
      <c r="S292" s="13">
        <v>0</v>
      </c>
    </row>
    <row r="293" spans="1:19" ht="15" customHeight="1" x14ac:dyDescent="0.35">
      <c r="A293" s="34" t="s">
        <v>113</v>
      </c>
      <c r="B293" s="35">
        <v>2015</v>
      </c>
      <c r="C293" s="36">
        <v>12.49</v>
      </c>
      <c r="D293" s="35" t="s">
        <v>71</v>
      </c>
      <c r="E293" s="37">
        <v>789.07</v>
      </c>
      <c r="F293" s="35" t="s">
        <v>28</v>
      </c>
      <c r="G293" s="37">
        <v>2956.6452899999999</v>
      </c>
      <c r="H293" s="38">
        <v>1.5808725809105501E-2</v>
      </c>
      <c r="I293" s="39">
        <v>2.5249000000000001</v>
      </c>
      <c r="J293" s="39">
        <v>6.6708999999999996</v>
      </c>
      <c r="K293" s="13">
        <v>0</v>
      </c>
      <c r="L293" s="13">
        <v>0</v>
      </c>
      <c r="M293" s="13">
        <v>0</v>
      </c>
      <c r="N293" s="13">
        <v>0</v>
      </c>
      <c r="O293" s="13">
        <v>0</v>
      </c>
      <c r="P293" s="13">
        <v>1</v>
      </c>
      <c r="Q293" s="13">
        <v>0</v>
      </c>
      <c r="R293" s="13">
        <v>1</v>
      </c>
      <c r="S293" s="13">
        <v>1</v>
      </c>
    </row>
    <row r="294" spans="1:19" ht="15" customHeight="1" x14ac:dyDescent="0.35">
      <c r="A294" s="40" t="s">
        <v>113</v>
      </c>
      <c r="B294" s="41">
        <v>2016</v>
      </c>
      <c r="C294" s="42">
        <v>12.8</v>
      </c>
      <c r="D294" s="41" t="s">
        <v>71</v>
      </c>
      <c r="E294" s="43">
        <v>886.24</v>
      </c>
      <c r="F294" s="41" t="s">
        <v>28</v>
      </c>
      <c r="G294" s="43">
        <v>3403.1615999999999</v>
      </c>
      <c r="H294" s="44">
        <v>1.4426761642847501E-2</v>
      </c>
      <c r="I294" s="45">
        <v>2.5493999999999999</v>
      </c>
      <c r="J294" s="45">
        <v>6.7869999999999999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  <c r="P294" s="13">
        <v>1</v>
      </c>
      <c r="Q294" s="13">
        <v>0</v>
      </c>
      <c r="R294" s="13">
        <v>1</v>
      </c>
      <c r="S294" s="13">
        <v>0</v>
      </c>
    </row>
    <row r="295" spans="1:19" ht="15" customHeight="1" x14ac:dyDescent="0.35">
      <c r="A295" s="34" t="s">
        <v>113</v>
      </c>
      <c r="B295" s="35">
        <v>2017</v>
      </c>
      <c r="C295" s="36">
        <v>15.08</v>
      </c>
      <c r="D295" s="35" t="s">
        <v>71</v>
      </c>
      <c r="E295" s="37">
        <v>905.03</v>
      </c>
      <c r="F295" s="35" t="s">
        <v>28</v>
      </c>
      <c r="G295" s="37">
        <v>4094.35572</v>
      </c>
      <c r="H295" s="38">
        <v>1.6644040484310701E-2</v>
      </c>
      <c r="I295" s="39">
        <v>2.7134</v>
      </c>
      <c r="J295" s="39">
        <v>6.8079999999999998</v>
      </c>
      <c r="K295" s="13">
        <v>0</v>
      </c>
      <c r="L295" s="13">
        <v>0</v>
      </c>
      <c r="M295" s="13">
        <v>0</v>
      </c>
      <c r="N295" s="13">
        <v>0</v>
      </c>
      <c r="O295" s="13">
        <v>0</v>
      </c>
      <c r="P295" s="13">
        <v>1</v>
      </c>
      <c r="Q295" s="13">
        <v>0</v>
      </c>
      <c r="R295" s="13">
        <v>1</v>
      </c>
      <c r="S295" s="13">
        <v>0</v>
      </c>
    </row>
    <row r="296" spans="1:19" ht="15" customHeight="1" x14ac:dyDescent="0.35">
      <c r="A296" s="40" t="s">
        <v>113</v>
      </c>
      <c r="B296" s="41">
        <v>2018</v>
      </c>
      <c r="C296" s="42">
        <v>15.1</v>
      </c>
      <c r="D296" s="41" t="s">
        <v>71</v>
      </c>
      <c r="E296" s="43">
        <v>923.96</v>
      </c>
      <c r="F296" s="41" t="s">
        <v>28</v>
      </c>
      <c r="G296" s="43">
        <v>4185.5388000000003</v>
      </c>
      <c r="H296" s="44">
        <v>1.6325030271579302E-2</v>
      </c>
      <c r="I296" s="45">
        <v>2.7147000000000001</v>
      </c>
      <c r="J296" s="45">
        <v>6.8287000000000004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  <c r="P296" s="13">
        <v>1</v>
      </c>
      <c r="Q296" s="13">
        <v>0</v>
      </c>
      <c r="R296" s="13">
        <v>1</v>
      </c>
      <c r="S296" s="13">
        <v>0</v>
      </c>
    </row>
    <row r="297" spans="1:19" ht="15" customHeight="1" x14ac:dyDescent="0.35">
      <c r="A297" s="34" t="s">
        <v>113</v>
      </c>
      <c r="B297" s="35">
        <v>2019</v>
      </c>
      <c r="C297" s="36">
        <v>15.77</v>
      </c>
      <c r="D297" s="35" t="s">
        <v>71</v>
      </c>
      <c r="E297" s="37">
        <v>915.12</v>
      </c>
      <c r="F297" s="35" t="s">
        <v>28</v>
      </c>
      <c r="G297" s="37">
        <v>4329.4327199999998</v>
      </c>
      <c r="H297" s="38">
        <v>1.7213902108894001E-2</v>
      </c>
      <c r="I297" s="39">
        <v>2.7581000000000002</v>
      </c>
      <c r="J297" s="39">
        <v>6.8190999999999997</v>
      </c>
      <c r="K297" s="13">
        <v>0</v>
      </c>
      <c r="L297" s="13">
        <v>0</v>
      </c>
      <c r="M297" s="13">
        <v>0</v>
      </c>
      <c r="N297" s="13">
        <v>0</v>
      </c>
      <c r="O297" s="13">
        <v>0</v>
      </c>
      <c r="P297" s="13">
        <v>1</v>
      </c>
      <c r="Q297" s="13">
        <v>0</v>
      </c>
      <c r="R297" s="13">
        <v>1</v>
      </c>
      <c r="S297" s="13">
        <v>0</v>
      </c>
    </row>
    <row r="298" spans="1:19" ht="15" customHeight="1" x14ac:dyDescent="0.35">
      <c r="A298" s="40" t="s">
        <v>113</v>
      </c>
      <c r="B298" s="41">
        <v>2020</v>
      </c>
      <c r="C298" s="42">
        <v>21.75</v>
      </c>
      <c r="D298" s="41" t="s">
        <v>71</v>
      </c>
      <c r="E298" s="43">
        <v>853.61</v>
      </c>
      <c r="F298" s="41" t="s">
        <v>28</v>
      </c>
      <c r="G298" s="43">
        <v>5569.8052500000003</v>
      </c>
      <c r="H298" s="44">
        <v>2.5450205356829399E-2</v>
      </c>
      <c r="I298" s="45">
        <v>3.0796000000000001</v>
      </c>
      <c r="J298" s="45">
        <v>6.7495000000000003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  <c r="P298" s="13">
        <v>1</v>
      </c>
      <c r="Q298" s="13">
        <v>0</v>
      </c>
      <c r="R298" s="13">
        <v>1</v>
      </c>
      <c r="S298" s="13">
        <v>0</v>
      </c>
    </row>
    <row r="299" spans="1:19" ht="15" customHeight="1" x14ac:dyDescent="0.35">
      <c r="A299" s="34" t="s">
        <v>113</v>
      </c>
      <c r="B299" s="35">
        <v>2021</v>
      </c>
      <c r="C299" s="36">
        <v>17.940000000000001</v>
      </c>
      <c r="D299" s="35" t="s">
        <v>71</v>
      </c>
      <c r="E299" s="37">
        <v>844.41</v>
      </c>
      <c r="F299" s="35" t="s">
        <v>28</v>
      </c>
      <c r="G299" s="37">
        <v>4544.6146200000003</v>
      </c>
      <c r="H299" s="38">
        <v>2.1220472906636999E-2</v>
      </c>
      <c r="I299" s="39">
        <v>2.887</v>
      </c>
      <c r="J299" s="39">
        <v>6.7385999999999999</v>
      </c>
      <c r="K299" s="13">
        <v>0</v>
      </c>
      <c r="L299" s="13">
        <v>0</v>
      </c>
      <c r="M299" s="13">
        <v>0</v>
      </c>
      <c r="N299" s="13">
        <v>0</v>
      </c>
      <c r="O299" s="13">
        <v>0</v>
      </c>
      <c r="P299" s="13">
        <v>1</v>
      </c>
      <c r="Q299" s="13">
        <v>0</v>
      </c>
      <c r="R299" s="13">
        <v>1</v>
      </c>
      <c r="S299" s="13">
        <v>0</v>
      </c>
    </row>
    <row r="300" spans="1:19" ht="15" customHeight="1" x14ac:dyDescent="0.35">
      <c r="A300" s="40" t="s">
        <v>113</v>
      </c>
      <c r="B300" s="41">
        <v>2022</v>
      </c>
      <c r="C300" s="42">
        <v>38.58</v>
      </c>
      <c r="D300" s="41" t="s">
        <v>71</v>
      </c>
      <c r="E300" s="43">
        <v>857.27</v>
      </c>
      <c r="F300" s="41" t="s">
        <v>28</v>
      </c>
      <c r="G300" s="43">
        <v>9922.0429800000002</v>
      </c>
      <c r="H300" s="44">
        <v>4.4950889580201998E-2</v>
      </c>
      <c r="I300" s="45">
        <v>3.6526999999999998</v>
      </c>
      <c r="J300" s="45">
        <v>6.7538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  <c r="P300" s="13">
        <v>1</v>
      </c>
      <c r="Q300" s="13">
        <v>0</v>
      </c>
      <c r="R300" s="13">
        <v>1</v>
      </c>
      <c r="S300" s="13">
        <v>0</v>
      </c>
    </row>
    <row r="301" spans="1:19" ht="15" customHeight="1" x14ac:dyDescent="0.35">
      <c r="A301" s="34" t="s">
        <v>113</v>
      </c>
      <c r="B301" s="35">
        <v>2023</v>
      </c>
      <c r="C301" s="36">
        <v>29.84</v>
      </c>
      <c r="D301" s="35" t="s">
        <v>71</v>
      </c>
      <c r="E301" s="37">
        <v>875.95</v>
      </c>
      <c r="F301" s="35" t="s">
        <v>28</v>
      </c>
      <c r="G301" s="37">
        <v>7841.5043999999998</v>
      </c>
      <c r="H301" s="38">
        <v>3.4027025486059598E-2</v>
      </c>
      <c r="I301" s="39">
        <v>3.3957999999999999</v>
      </c>
      <c r="J301" s="39">
        <v>6.7752999999999997</v>
      </c>
      <c r="K301" s="13">
        <v>0</v>
      </c>
      <c r="L301" s="13">
        <v>0</v>
      </c>
      <c r="M301" s="13">
        <v>0</v>
      </c>
      <c r="N301" s="13">
        <v>0</v>
      </c>
      <c r="O301" s="13">
        <v>0</v>
      </c>
      <c r="P301" s="13">
        <v>1</v>
      </c>
      <c r="Q301" s="13">
        <v>0</v>
      </c>
      <c r="R301" s="13">
        <v>1</v>
      </c>
      <c r="S301" s="13">
        <v>0</v>
      </c>
    </row>
    <row r="302" spans="1:19" ht="15" customHeight="1" x14ac:dyDescent="0.35">
      <c r="A302" s="40" t="s">
        <v>114</v>
      </c>
      <c r="B302" s="41">
        <v>2023</v>
      </c>
      <c r="C302" s="42">
        <v>32.200000000000003</v>
      </c>
      <c r="D302" s="41" t="s">
        <v>72</v>
      </c>
      <c r="E302" s="43">
        <v>731.02</v>
      </c>
      <c r="F302" s="41" t="s">
        <v>28</v>
      </c>
      <c r="G302" s="43">
        <v>7061.6531999999997</v>
      </c>
      <c r="H302" s="44">
        <v>4.3987869183902101E-2</v>
      </c>
      <c r="I302" s="45">
        <v>3.472</v>
      </c>
      <c r="J302" s="45">
        <v>6.5944000000000003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  <c r="P302" s="13">
        <v>1</v>
      </c>
      <c r="Q302" s="13">
        <v>1</v>
      </c>
      <c r="R302" s="13">
        <v>0</v>
      </c>
      <c r="S302" s="13">
        <v>1</v>
      </c>
    </row>
    <row r="303" spans="1:19" ht="15" customHeight="1" x14ac:dyDescent="0.35">
      <c r="A303" s="34" t="s">
        <v>115</v>
      </c>
      <c r="B303" s="35">
        <v>2015</v>
      </c>
      <c r="C303" s="36">
        <v>5.9</v>
      </c>
      <c r="D303" s="35" t="s">
        <v>71</v>
      </c>
      <c r="E303" s="37">
        <v>5468.96</v>
      </c>
      <c r="F303" s="35" t="s">
        <v>28</v>
      </c>
      <c r="G303" s="37">
        <v>9680.0591999999997</v>
      </c>
      <c r="H303" s="38">
        <v>1.07861849081163E-3</v>
      </c>
      <c r="I303" s="39">
        <v>1.7749999999999999</v>
      </c>
      <c r="J303" s="39">
        <v>8.6067999999999998</v>
      </c>
      <c r="K303" s="13">
        <v>0</v>
      </c>
      <c r="L303" s="13">
        <v>0</v>
      </c>
      <c r="M303" s="13">
        <v>0</v>
      </c>
      <c r="N303" s="13">
        <v>0</v>
      </c>
      <c r="O303" s="13">
        <v>0</v>
      </c>
      <c r="P303" s="13">
        <v>1</v>
      </c>
      <c r="Q303" s="13">
        <v>0</v>
      </c>
      <c r="R303" s="13">
        <v>1</v>
      </c>
      <c r="S303" s="13">
        <v>1</v>
      </c>
    </row>
    <row r="304" spans="1:19" ht="15" customHeight="1" x14ac:dyDescent="0.35">
      <c r="A304" s="40" t="s">
        <v>115</v>
      </c>
      <c r="B304" s="41">
        <v>2016</v>
      </c>
      <c r="C304" s="42">
        <v>5.23</v>
      </c>
      <c r="D304" s="41" t="s">
        <v>71</v>
      </c>
      <c r="E304" s="43">
        <v>5505.43</v>
      </c>
      <c r="F304" s="41" t="s">
        <v>28</v>
      </c>
      <c r="G304" s="43">
        <v>8638.0196699999997</v>
      </c>
      <c r="H304" s="44">
        <v>9.4979868989526805E-4</v>
      </c>
      <c r="I304" s="45">
        <v>1.6544000000000001</v>
      </c>
      <c r="J304" s="45">
        <v>8.6135000000000002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  <c r="P304" s="13">
        <v>1</v>
      </c>
      <c r="Q304" s="13">
        <v>0</v>
      </c>
      <c r="R304" s="13">
        <v>1</v>
      </c>
      <c r="S304" s="13">
        <v>0</v>
      </c>
    </row>
    <row r="305" spans="1:19" ht="15" customHeight="1" x14ac:dyDescent="0.35">
      <c r="A305" s="34" t="s">
        <v>115</v>
      </c>
      <c r="B305" s="35">
        <v>2017</v>
      </c>
      <c r="C305" s="36">
        <v>3.94</v>
      </c>
      <c r="D305" s="35" t="s">
        <v>71</v>
      </c>
      <c r="E305" s="37">
        <v>5459.13</v>
      </c>
      <c r="F305" s="35" t="s">
        <v>28</v>
      </c>
      <c r="G305" s="37">
        <v>6452.6916600000004</v>
      </c>
      <c r="H305" s="38">
        <v>7.2159454078932195E-4</v>
      </c>
      <c r="I305" s="39">
        <v>1.3712</v>
      </c>
      <c r="J305" s="39">
        <v>8.6050000000000004</v>
      </c>
      <c r="K305" s="13">
        <v>0</v>
      </c>
      <c r="L305" s="13">
        <v>0</v>
      </c>
      <c r="M305" s="13">
        <v>0</v>
      </c>
      <c r="N305" s="13">
        <v>0</v>
      </c>
      <c r="O305" s="13">
        <v>0</v>
      </c>
      <c r="P305" s="13">
        <v>1</v>
      </c>
      <c r="Q305" s="13">
        <v>0</v>
      </c>
      <c r="R305" s="13">
        <v>1</v>
      </c>
      <c r="S305" s="13">
        <v>0</v>
      </c>
    </row>
    <row r="306" spans="1:19" ht="15" customHeight="1" x14ac:dyDescent="0.35">
      <c r="A306" s="40" t="s">
        <v>115</v>
      </c>
      <c r="B306" s="41">
        <v>2018</v>
      </c>
      <c r="C306" s="42">
        <v>4.3</v>
      </c>
      <c r="D306" s="41" t="s">
        <v>71</v>
      </c>
      <c r="E306" s="43">
        <v>5693.3</v>
      </c>
      <c r="F306" s="41" t="s">
        <v>28</v>
      </c>
      <c r="G306" s="43">
        <v>7344.357</v>
      </c>
      <c r="H306" s="44">
        <v>7.5514110601829904E-4</v>
      </c>
      <c r="I306" s="45">
        <v>1.4585999999999999</v>
      </c>
      <c r="J306" s="45">
        <v>8.6470000000000002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  <c r="P306" s="13">
        <v>1</v>
      </c>
      <c r="Q306" s="13">
        <v>0</v>
      </c>
      <c r="R306" s="13">
        <v>1</v>
      </c>
      <c r="S306" s="13">
        <v>0</v>
      </c>
    </row>
    <row r="307" spans="1:19" ht="15" customHeight="1" x14ac:dyDescent="0.35">
      <c r="A307" s="34" t="s">
        <v>115</v>
      </c>
      <c r="B307" s="35">
        <v>2019</v>
      </c>
      <c r="C307" s="36">
        <v>4.9400000000000004</v>
      </c>
      <c r="D307" s="35" t="s">
        <v>71</v>
      </c>
      <c r="E307" s="37">
        <v>5577.45</v>
      </c>
      <c r="F307" s="35" t="s">
        <v>28</v>
      </c>
      <c r="G307" s="37">
        <v>8265.7808999999997</v>
      </c>
      <c r="H307" s="38">
        <v>8.8555064578870499E-4</v>
      </c>
      <c r="I307" s="39">
        <v>1.5973999999999999</v>
      </c>
      <c r="J307" s="39">
        <v>8.6265000000000001</v>
      </c>
      <c r="K307" s="13">
        <v>0</v>
      </c>
      <c r="L307" s="13">
        <v>0</v>
      </c>
      <c r="M307" s="13">
        <v>0</v>
      </c>
      <c r="N307" s="13">
        <v>0</v>
      </c>
      <c r="O307" s="13">
        <v>0</v>
      </c>
      <c r="P307" s="13">
        <v>1</v>
      </c>
      <c r="Q307" s="13">
        <v>0</v>
      </c>
      <c r="R307" s="13">
        <v>1</v>
      </c>
      <c r="S307" s="13">
        <v>0</v>
      </c>
    </row>
    <row r="308" spans="1:19" ht="15" customHeight="1" x14ac:dyDescent="0.35">
      <c r="A308" s="40" t="s">
        <v>115</v>
      </c>
      <c r="B308" s="41">
        <v>2020</v>
      </c>
      <c r="C308" s="42">
        <v>5.13</v>
      </c>
      <c r="D308" s="41" t="s">
        <v>71</v>
      </c>
      <c r="E308" s="43">
        <v>5022.8900000000003</v>
      </c>
      <c r="F308" s="41" t="s">
        <v>28</v>
      </c>
      <c r="G308" s="43">
        <v>7730.2277100000001</v>
      </c>
      <c r="H308" s="44">
        <v>1.0211210834632099E-3</v>
      </c>
      <c r="I308" s="45">
        <v>1.6351</v>
      </c>
      <c r="J308" s="45">
        <v>8.5218000000000007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  <c r="P308" s="13">
        <v>1</v>
      </c>
      <c r="Q308" s="13">
        <v>0</v>
      </c>
      <c r="R308" s="13">
        <v>1</v>
      </c>
      <c r="S308" s="13">
        <v>0</v>
      </c>
    </row>
    <row r="309" spans="1:19" ht="15" customHeight="1" x14ac:dyDescent="0.35">
      <c r="A309" s="34" t="s">
        <v>115</v>
      </c>
      <c r="B309" s="35">
        <v>2021</v>
      </c>
      <c r="C309" s="36">
        <v>8.69</v>
      </c>
      <c r="D309" s="35" t="s">
        <v>71</v>
      </c>
      <c r="E309" s="37">
        <v>5563.7</v>
      </c>
      <c r="F309" s="35" t="s">
        <v>28</v>
      </c>
      <c r="G309" s="37">
        <v>14504.5659</v>
      </c>
      <c r="H309" s="38">
        <v>1.56162955774795E-3</v>
      </c>
      <c r="I309" s="39">
        <v>2.1621999999999999</v>
      </c>
      <c r="J309" s="39">
        <v>8.6240000000000006</v>
      </c>
      <c r="K309" s="13">
        <v>0</v>
      </c>
      <c r="L309" s="13">
        <v>0</v>
      </c>
      <c r="M309" s="13">
        <v>0</v>
      </c>
      <c r="N309" s="13">
        <v>0</v>
      </c>
      <c r="O309" s="13">
        <v>0</v>
      </c>
      <c r="P309" s="13">
        <v>1</v>
      </c>
      <c r="Q309" s="13">
        <v>0</v>
      </c>
      <c r="R309" s="13">
        <v>1</v>
      </c>
      <c r="S309" s="13">
        <v>0</v>
      </c>
    </row>
    <row r="310" spans="1:19" ht="15" customHeight="1" x14ac:dyDescent="0.35">
      <c r="A310" s="40" t="s">
        <v>115</v>
      </c>
      <c r="B310" s="41">
        <v>2022</v>
      </c>
      <c r="C310" s="42">
        <v>13.89</v>
      </c>
      <c r="D310" s="41" t="s">
        <v>71</v>
      </c>
      <c r="E310" s="43">
        <v>5638.18</v>
      </c>
      <c r="F310" s="41" t="s">
        <v>28</v>
      </c>
      <c r="G310" s="43">
        <v>23494.296060000001</v>
      </c>
      <c r="H310" s="44">
        <v>2.4631240712302098E-3</v>
      </c>
      <c r="I310" s="45">
        <v>2.6312000000000002</v>
      </c>
      <c r="J310" s="45">
        <v>8.6372999999999998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  <c r="P310" s="13">
        <v>1</v>
      </c>
      <c r="Q310" s="13">
        <v>0</v>
      </c>
      <c r="R310" s="13">
        <v>1</v>
      </c>
      <c r="S310" s="13">
        <v>0</v>
      </c>
    </row>
    <row r="311" spans="1:19" ht="15" customHeight="1" x14ac:dyDescent="0.35">
      <c r="A311" s="34" t="s">
        <v>115</v>
      </c>
      <c r="B311" s="35">
        <v>2023</v>
      </c>
      <c r="C311" s="36">
        <v>15.39</v>
      </c>
      <c r="D311" s="35" t="s">
        <v>71</v>
      </c>
      <c r="E311" s="37">
        <v>5434.18</v>
      </c>
      <c r="F311" s="35" t="s">
        <v>28</v>
      </c>
      <c r="G311" s="37">
        <v>25089.609059999999</v>
      </c>
      <c r="H311" s="38">
        <v>2.8315529568478E-3</v>
      </c>
      <c r="I311" s="39">
        <v>2.7336999999999998</v>
      </c>
      <c r="J311" s="39">
        <v>8.6005000000000003</v>
      </c>
      <c r="K311" s="13">
        <v>0</v>
      </c>
      <c r="L311" s="13">
        <v>0</v>
      </c>
      <c r="M311" s="13">
        <v>0</v>
      </c>
      <c r="N311" s="13">
        <v>0</v>
      </c>
      <c r="O311" s="13">
        <v>0</v>
      </c>
      <c r="P311" s="13">
        <v>1</v>
      </c>
      <c r="Q311" s="13">
        <v>0</v>
      </c>
      <c r="R311" s="13">
        <v>1</v>
      </c>
      <c r="S311" s="13">
        <v>0</v>
      </c>
    </row>
    <row r="312" spans="1:19" ht="15" customHeight="1" x14ac:dyDescent="0.35">
      <c r="A312" s="40" t="s">
        <v>116</v>
      </c>
      <c r="B312" s="41">
        <v>2015</v>
      </c>
      <c r="C312" s="42">
        <v>37.51</v>
      </c>
      <c r="D312" s="41" t="s">
        <v>71</v>
      </c>
      <c r="E312" s="43">
        <v>1192.92</v>
      </c>
      <c r="F312" s="41" t="s">
        <v>28</v>
      </c>
      <c r="G312" s="43">
        <v>13423.928760000001</v>
      </c>
      <c r="H312" s="44">
        <v>3.1417515411417803E-2</v>
      </c>
      <c r="I312" s="45">
        <v>3.6246</v>
      </c>
      <c r="J312" s="45">
        <v>7.0842000000000001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  <c r="P312" s="13">
        <v>1</v>
      </c>
      <c r="Q312" s="13">
        <v>0</v>
      </c>
      <c r="R312" s="13">
        <v>1</v>
      </c>
      <c r="S312" s="13">
        <v>1</v>
      </c>
    </row>
    <row r="313" spans="1:19" ht="15" customHeight="1" x14ac:dyDescent="0.35">
      <c r="A313" s="34" t="s">
        <v>116</v>
      </c>
      <c r="B313" s="35">
        <v>2016</v>
      </c>
      <c r="C313" s="36">
        <v>14.64</v>
      </c>
      <c r="D313" s="35" t="s">
        <v>71</v>
      </c>
      <c r="E313" s="37">
        <v>1194.45</v>
      </c>
      <c r="F313" s="35" t="s">
        <v>28</v>
      </c>
      <c r="G313" s="37">
        <v>5246.0244000000002</v>
      </c>
      <c r="H313" s="38">
        <v>1.2246434397088999E-2</v>
      </c>
      <c r="I313" s="39">
        <v>2.6838000000000002</v>
      </c>
      <c r="J313" s="39">
        <v>7.0853999999999999</v>
      </c>
      <c r="K313" s="13">
        <v>0</v>
      </c>
      <c r="L313" s="13">
        <v>0</v>
      </c>
      <c r="M313" s="13">
        <v>0</v>
      </c>
      <c r="N313" s="13">
        <v>0</v>
      </c>
      <c r="O313" s="13">
        <v>0</v>
      </c>
      <c r="P313" s="13">
        <v>1</v>
      </c>
      <c r="Q313" s="13">
        <v>0</v>
      </c>
      <c r="R313" s="13">
        <v>1</v>
      </c>
      <c r="S313" s="13">
        <v>0</v>
      </c>
    </row>
    <row r="314" spans="1:19" ht="15" customHeight="1" x14ac:dyDescent="0.35">
      <c r="A314" s="40" t="s">
        <v>116</v>
      </c>
      <c r="B314" s="41">
        <v>2017</v>
      </c>
      <c r="C314" s="42">
        <v>13.39</v>
      </c>
      <c r="D314" s="41" t="s">
        <v>71</v>
      </c>
      <c r="E314" s="43">
        <v>1182.19</v>
      </c>
      <c r="F314" s="41" t="s">
        <v>28</v>
      </c>
      <c r="G314" s="43">
        <v>4748.8572299999996</v>
      </c>
      <c r="H314" s="44">
        <v>1.13168637327902E-2</v>
      </c>
      <c r="I314" s="45">
        <v>2.5945</v>
      </c>
      <c r="J314" s="45">
        <v>7.0750999999999999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  <c r="P314" s="13">
        <v>1</v>
      </c>
      <c r="Q314" s="13">
        <v>0</v>
      </c>
      <c r="R314" s="13">
        <v>1</v>
      </c>
      <c r="S314" s="13">
        <v>0</v>
      </c>
    </row>
    <row r="315" spans="1:19" ht="15" customHeight="1" x14ac:dyDescent="0.35">
      <c r="A315" s="34" t="s">
        <v>116</v>
      </c>
      <c r="B315" s="35">
        <v>2018</v>
      </c>
      <c r="C315" s="36">
        <v>5.69</v>
      </c>
      <c r="D315" s="35" t="s">
        <v>71</v>
      </c>
      <c r="E315" s="37">
        <v>1143.5999999999999</v>
      </c>
      <c r="F315" s="35" t="s">
        <v>28</v>
      </c>
      <c r="G315" s="37">
        <v>1952.1251999999999</v>
      </c>
      <c r="H315" s="38">
        <v>4.9711689673248302E-3</v>
      </c>
      <c r="I315" s="39">
        <v>1.7386999999999999</v>
      </c>
      <c r="J315" s="39">
        <v>7.0419</v>
      </c>
      <c r="K315" s="13">
        <v>0</v>
      </c>
      <c r="L315" s="13">
        <v>0</v>
      </c>
      <c r="M315" s="13">
        <v>0</v>
      </c>
      <c r="N315" s="13">
        <v>0</v>
      </c>
      <c r="O315" s="13">
        <v>0</v>
      </c>
      <c r="P315" s="13">
        <v>1</v>
      </c>
      <c r="Q315" s="13">
        <v>0</v>
      </c>
      <c r="R315" s="13">
        <v>1</v>
      </c>
      <c r="S315" s="13">
        <v>0</v>
      </c>
    </row>
    <row r="316" spans="1:19" ht="15" customHeight="1" x14ac:dyDescent="0.35">
      <c r="A316" s="40" t="s">
        <v>116</v>
      </c>
      <c r="B316" s="41">
        <v>2019</v>
      </c>
      <c r="C316" s="42">
        <v>5.85</v>
      </c>
      <c r="D316" s="41" t="s">
        <v>71</v>
      </c>
      <c r="E316" s="43">
        <v>1108.04</v>
      </c>
      <c r="F316" s="41" t="s">
        <v>28</v>
      </c>
      <c r="G316" s="43">
        <v>1944.6102000000001</v>
      </c>
      <c r="H316" s="44">
        <v>5.2748322873836804E-3</v>
      </c>
      <c r="I316" s="45">
        <v>1.7664</v>
      </c>
      <c r="J316" s="45">
        <v>7.0103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  <c r="P316" s="13">
        <v>1</v>
      </c>
      <c r="Q316" s="13">
        <v>0</v>
      </c>
      <c r="R316" s="13">
        <v>1</v>
      </c>
      <c r="S316" s="13">
        <v>0</v>
      </c>
    </row>
    <row r="317" spans="1:19" ht="15" customHeight="1" x14ac:dyDescent="0.35">
      <c r="A317" s="34" t="s">
        <v>116</v>
      </c>
      <c r="B317" s="35">
        <v>2020</v>
      </c>
      <c r="C317" s="36">
        <v>5.58</v>
      </c>
      <c r="D317" s="35" t="s">
        <v>71</v>
      </c>
      <c r="E317" s="37">
        <v>1051.6400000000001</v>
      </c>
      <c r="F317" s="35" t="s">
        <v>28</v>
      </c>
      <c r="G317" s="37">
        <v>1760.4453599999999</v>
      </c>
      <c r="H317" s="38">
        <v>5.3009575923392603E-3</v>
      </c>
      <c r="I317" s="39">
        <v>1.7192000000000001</v>
      </c>
      <c r="J317" s="39">
        <v>6.9581</v>
      </c>
      <c r="K317" s="13">
        <v>0</v>
      </c>
      <c r="L317" s="13">
        <v>0</v>
      </c>
      <c r="M317" s="13">
        <v>0</v>
      </c>
      <c r="N317" s="13">
        <v>0</v>
      </c>
      <c r="O317" s="13">
        <v>0</v>
      </c>
      <c r="P317" s="13">
        <v>1</v>
      </c>
      <c r="Q317" s="13">
        <v>0</v>
      </c>
      <c r="R317" s="13">
        <v>1</v>
      </c>
      <c r="S317" s="13">
        <v>0</v>
      </c>
    </row>
    <row r="318" spans="1:19" ht="15" customHeight="1" x14ac:dyDescent="0.35">
      <c r="A318" s="40" t="s">
        <v>116</v>
      </c>
      <c r="B318" s="41">
        <v>2021</v>
      </c>
      <c r="C318" s="42">
        <v>5.42</v>
      </c>
      <c r="D318" s="41" t="s">
        <v>71</v>
      </c>
      <c r="E318" s="43">
        <v>1103.6300000000001</v>
      </c>
      <c r="F318" s="41" t="s">
        <v>28</v>
      </c>
      <c r="G318" s="43">
        <v>1794.5023799999999</v>
      </c>
      <c r="H318" s="44">
        <v>4.9066203163050104E-3</v>
      </c>
      <c r="I318" s="45">
        <v>1.6900999999999999</v>
      </c>
      <c r="J318" s="45">
        <v>7.0064000000000002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  <c r="P318" s="13">
        <v>1</v>
      </c>
      <c r="Q318" s="13">
        <v>0</v>
      </c>
      <c r="R318" s="13">
        <v>1</v>
      </c>
      <c r="S318" s="13">
        <v>0</v>
      </c>
    </row>
    <row r="319" spans="1:19" ht="15" customHeight="1" x14ac:dyDescent="0.35">
      <c r="A319" s="34" t="s">
        <v>116</v>
      </c>
      <c r="B319" s="35">
        <v>2022</v>
      </c>
      <c r="C319" s="36">
        <v>3.84</v>
      </c>
      <c r="D319" s="35" t="s">
        <v>71</v>
      </c>
      <c r="E319" s="37">
        <v>1078.93</v>
      </c>
      <c r="F319" s="35" t="s">
        <v>28</v>
      </c>
      <c r="G319" s="37">
        <v>1242.9273599999999</v>
      </c>
      <c r="H319" s="38">
        <v>3.5557860231681701E-3</v>
      </c>
      <c r="I319" s="39">
        <v>1.3454999999999999</v>
      </c>
      <c r="J319" s="39">
        <v>6.9836999999999998</v>
      </c>
      <c r="K319" s="13">
        <v>0</v>
      </c>
      <c r="L319" s="13">
        <v>0</v>
      </c>
      <c r="M319" s="13">
        <v>0</v>
      </c>
      <c r="N319" s="13">
        <v>0</v>
      </c>
      <c r="O319" s="13">
        <v>0</v>
      </c>
      <c r="P319" s="13">
        <v>1</v>
      </c>
      <c r="Q319" s="13">
        <v>0</v>
      </c>
      <c r="R319" s="13">
        <v>1</v>
      </c>
      <c r="S319" s="13">
        <v>0</v>
      </c>
    </row>
    <row r="320" spans="1:19" ht="15" customHeight="1" x14ac:dyDescent="0.35">
      <c r="A320" s="40" t="s">
        <v>116</v>
      </c>
      <c r="B320" s="41">
        <v>2023</v>
      </c>
      <c r="C320" s="42">
        <v>1.08</v>
      </c>
      <c r="D320" s="41" t="s">
        <v>71</v>
      </c>
      <c r="E320" s="43">
        <v>1034.23</v>
      </c>
      <c r="F320" s="41" t="s">
        <v>28</v>
      </c>
      <c r="G320" s="43">
        <v>335.09052000000003</v>
      </c>
      <c r="H320" s="44">
        <v>1.0432464283299399E-3</v>
      </c>
      <c r="I320" s="45">
        <v>7.6999999999999999E-2</v>
      </c>
      <c r="J320" s="45">
        <v>6.9413999999999998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  <c r="P320" s="13">
        <v>1</v>
      </c>
      <c r="Q320" s="13">
        <v>0</v>
      </c>
      <c r="R320" s="13">
        <v>1</v>
      </c>
      <c r="S320" s="13">
        <v>0</v>
      </c>
    </row>
    <row r="321" spans="1:19" ht="15" customHeight="1" x14ac:dyDescent="0.35">
      <c r="A321" s="34" t="s">
        <v>117</v>
      </c>
      <c r="B321" s="35">
        <v>2021</v>
      </c>
      <c r="C321" s="36">
        <v>31.83</v>
      </c>
      <c r="D321" s="35" t="s">
        <v>71</v>
      </c>
      <c r="E321" s="37">
        <v>844.41</v>
      </c>
      <c r="F321" s="35" t="s">
        <v>28</v>
      </c>
      <c r="G321" s="37">
        <v>8063.2710900000002</v>
      </c>
      <c r="H321" s="38">
        <v>3.76503708259898E-2</v>
      </c>
      <c r="I321" s="39">
        <v>3.4603999999999999</v>
      </c>
      <c r="J321" s="39">
        <v>6.7385999999999999</v>
      </c>
      <c r="K321" s="13">
        <v>0</v>
      </c>
      <c r="L321" s="13">
        <v>0</v>
      </c>
      <c r="M321" s="13">
        <v>0</v>
      </c>
      <c r="N321" s="13">
        <v>0</v>
      </c>
      <c r="O321" s="13">
        <v>0</v>
      </c>
      <c r="P321" s="13">
        <v>1</v>
      </c>
      <c r="Q321" s="13">
        <v>0</v>
      </c>
      <c r="R321" s="13">
        <v>1</v>
      </c>
      <c r="S321" s="13">
        <v>1</v>
      </c>
    </row>
    <row r="322" spans="1:19" ht="15" customHeight="1" x14ac:dyDescent="0.35">
      <c r="A322" s="40" t="s">
        <v>117</v>
      </c>
      <c r="B322" s="41">
        <v>2022</v>
      </c>
      <c r="C322" s="42">
        <v>39.96</v>
      </c>
      <c r="D322" s="41" t="s">
        <v>71</v>
      </c>
      <c r="E322" s="43">
        <v>857.27</v>
      </c>
      <c r="F322" s="41" t="s">
        <v>28</v>
      </c>
      <c r="G322" s="43">
        <v>10276.95276</v>
      </c>
      <c r="H322" s="44">
        <v>4.6558775210598098E-2</v>
      </c>
      <c r="I322" s="45">
        <v>3.6879</v>
      </c>
      <c r="J322" s="45">
        <v>6.7538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  <c r="P322" s="13">
        <v>1</v>
      </c>
      <c r="Q322" s="13">
        <v>0</v>
      </c>
      <c r="R322" s="13">
        <v>1</v>
      </c>
      <c r="S322" s="13">
        <v>0</v>
      </c>
    </row>
    <row r="323" spans="1:19" ht="15" customHeight="1" x14ac:dyDescent="0.35">
      <c r="A323" s="34" t="s">
        <v>117</v>
      </c>
      <c r="B323" s="35">
        <v>2023</v>
      </c>
      <c r="C323" s="36">
        <v>48.03</v>
      </c>
      <c r="D323" s="35" t="s">
        <v>71</v>
      </c>
      <c r="E323" s="37">
        <v>875.95</v>
      </c>
      <c r="F323" s="35" t="s">
        <v>28</v>
      </c>
      <c r="G323" s="37">
        <v>12621.563550000001</v>
      </c>
      <c r="H323" s="38">
        <v>5.4769371115799097E-2</v>
      </c>
      <c r="I323" s="39">
        <v>3.8717999999999999</v>
      </c>
      <c r="J323" s="39">
        <v>6.7752999999999997</v>
      </c>
      <c r="K323" s="13">
        <v>0</v>
      </c>
      <c r="L323" s="13">
        <v>0</v>
      </c>
      <c r="M323" s="13">
        <v>0</v>
      </c>
      <c r="N323" s="13">
        <v>0</v>
      </c>
      <c r="O323" s="13">
        <v>0</v>
      </c>
      <c r="P323" s="13">
        <v>1</v>
      </c>
      <c r="Q323" s="13">
        <v>0</v>
      </c>
      <c r="R323" s="13">
        <v>1</v>
      </c>
      <c r="S323" s="13">
        <v>0</v>
      </c>
    </row>
    <row r="324" spans="1:19" ht="15" customHeight="1" x14ac:dyDescent="0.35">
      <c r="A324" s="40" t="s">
        <v>118</v>
      </c>
      <c r="B324" s="41">
        <v>2015</v>
      </c>
      <c r="C324" s="42">
        <v>4.7300000000000004</v>
      </c>
      <c r="D324" s="41" t="s">
        <v>71</v>
      </c>
      <c r="E324" s="43">
        <v>11103.35</v>
      </c>
      <c r="F324" s="41" t="s">
        <v>20</v>
      </c>
      <c r="G324" s="43">
        <v>15755.65365</v>
      </c>
      <c r="H324" s="44">
        <v>4.2595919617087003E-4</v>
      </c>
      <c r="I324" s="45">
        <v>1.5539000000000001</v>
      </c>
      <c r="J324" s="45">
        <v>9.3149999999999995</v>
      </c>
      <c r="K324" s="13">
        <v>0</v>
      </c>
      <c r="L324" s="13">
        <v>1</v>
      </c>
      <c r="M324" s="13">
        <v>0</v>
      </c>
      <c r="N324" s="13">
        <v>0</v>
      </c>
      <c r="O324" s="13">
        <v>0</v>
      </c>
      <c r="P324" s="13">
        <v>0</v>
      </c>
      <c r="Q324" s="13">
        <v>0</v>
      </c>
      <c r="R324" s="13">
        <v>1</v>
      </c>
      <c r="S324" s="13">
        <v>1</v>
      </c>
    </row>
    <row r="325" spans="1:19" ht="15" customHeight="1" x14ac:dyDescent="0.35">
      <c r="A325" s="34" t="s">
        <v>118</v>
      </c>
      <c r="B325" s="35">
        <v>2016</v>
      </c>
      <c r="C325" s="36">
        <v>1.32</v>
      </c>
      <c r="D325" s="35" t="s">
        <v>71</v>
      </c>
      <c r="E325" s="37">
        <v>10955.02</v>
      </c>
      <c r="F325" s="35" t="s">
        <v>20</v>
      </c>
      <c r="G325" s="37">
        <v>4338.1879200000003</v>
      </c>
      <c r="H325" s="38">
        <v>1.20481707773443E-4</v>
      </c>
      <c r="I325" s="39">
        <v>0.27760000000000001</v>
      </c>
      <c r="J325" s="39">
        <v>9.3016000000000005</v>
      </c>
      <c r="K325" s="13">
        <v>0</v>
      </c>
      <c r="L325" s="13">
        <v>1</v>
      </c>
      <c r="M325" s="13">
        <v>0</v>
      </c>
      <c r="N325" s="13">
        <v>0</v>
      </c>
      <c r="O325" s="13">
        <v>0</v>
      </c>
      <c r="P325" s="13">
        <v>0</v>
      </c>
      <c r="Q325" s="13">
        <v>0</v>
      </c>
      <c r="R325" s="13">
        <v>1</v>
      </c>
      <c r="S325" s="13">
        <v>0</v>
      </c>
    </row>
    <row r="326" spans="1:19" ht="15" customHeight="1" x14ac:dyDescent="0.35">
      <c r="A326" s="40" t="s">
        <v>118</v>
      </c>
      <c r="B326" s="41">
        <v>2017</v>
      </c>
      <c r="C326" s="42">
        <v>4.57</v>
      </c>
      <c r="D326" s="41" t="s">
        <v>71</v>
      </c>
      <c r="E326" s="43">
        <v>11189.72</v>
      </c>
      <c r="F326" s="41" t="s">
        <v>20</v>
      </c>
      <c r="G326" s="43">
        <v>15341.10612</v>
      </c>
      <c r="H326" s="44">
        <v>4.0837408138171601E-4</v>
      </c>
      <c r="I326" s="45">
        <v>1.5195000000000001</v>
      </c>
      <c r="J326" s="45">
        <v>9.3228000000000009</v>
      </c>
      <c r="K326" s="13">
        <v>0</v>
      </c>
      <c r="L326" s="13">
        <v>1</v>
      </c>
      <c r="M326" s="13">
        <v>0</v>
      </c>
      <c r="N326" s="13">
        <v>0</v>
      </c>
      <c r="O326" s="13">
        <v>0</v>
      </c>
      <c r="P326" s="13">
        <v>0</v>
      </c>
      <c r="Q326" s="13">
        <v>0</v>
      </c>
      <c r="R326" s="13">
        <v>1</v>
      </c>
      <c r="S326" s="13">
        <v>0</v>
      </c>
    </row>
    <row r="327" spans="1:19" ht="15" customHeight="1" x14ac:dyDescent="0.35">
      <c r="A327" s="34" t="s">
        <v>118</v>
      </c>
      <c r="B327" s="35">
        <v>2018</v>
      </c>
      <c r="C327" s="36">
        <v>6.21</v>
      </c>
      <c r="D327" s="35" t="s">
        <v>71</v>
      </c>
      <c r="E327" s="37">
        <v>11662.12</v>
      </c>
      <c r="F327" s="35" t="s">
        <v>20</v>
      </c>
      <c r="G327" s="37">
        <v>21726.529559999999</v>
      </c>
      <c r="H327" s="38">
        <v>5.32447578349533E-4</v>
      </c>
      <c r="I327" s="39">
        <v>1.8262</v>
      </c>
      <c r="J327" s="39">
        <v>9.3641000000000005</v>
      </c>
      <c r="K327" s="13">
        <v>0</v>
      </c>
      <c r="L327" s="13">
        <v>1</v>
      </c>
      <c r="M327" s="13">
        <v>0</v>
      </c>
      <c r="N327" s="13">
        <v>0</v>
      </c>
      <c r="O327" s="13">
        <v>0</v>
      </c>
      <c r="P327" s="13">
        <v>0</v>
      </c>
      <c r="Q327" s="13">
        <v>0</v>
      </c>
      <c r="R327" s="13">
        <v>1</v>
      </c>
      <c r="S327" s="13">
        <v>0</v>
      </c>
    </row>
    <row r="328" spans="1:19" ht="15" customHeight="1" x14ac:dyDescent="0.35">
      <c r="A328" s="40" t="s">
        <v>118</v>
      </c>
      <c r="B328" s="41">
        <v>2019</v>
      </c>
      <c r="C328" s="42">
        <v>6.09</v>
      </c>
      <c r="D328" s="41" t="s">
        <v>71</v>
      </c>
      <c r="E328" s="43">
        <v>11915.69</v>
      </c>
      <c r="F328" s="41" t="s">
        <v>20</v>
      </c>
      <c r="G328" s="43">
        <v>21769.965629999999</v>
      </c>
      <c r="H328" s="44">
        <v>5.1104795039562205E-4</v>
      </c>
      <c r="I328" s="45">
        <v>1.8066</v>
      </c>
      <c r="J328" s="45">
        <v>9.3856000000000002</v>
      </c>
      <c r="K328" s="13">
        <v>0</v>
      </c>
      <c r="L328" s="13">
        <v>1</v>
      </c>
      <c r="M328" s="13">
        <v>0</v>
      </c>
      <c r="N328" s="13">
        <v>0</v>
      </c>
      <c r="O328" s="13">
        <v>0</v>
      </c>
      <c r="P328" s="13">
        <v>0</v>
      </c>
      <c r="Q328" s="13">
        <v>0</v>
      </c>
      <c r="R328" s="13">
        <v>1</v>
      </c>
      <c r="S328" s="13">
        <v>0</v>
      </c>
    </row>
    <row r="329" spans="1:19" ht="15" customHeight="1" x14ac:dyDescent="0.35">
      <c r="A329" s="34" t="s">
        <v>118</v>
      </c>
      <c r="B329" s="35">
        <v>2020</v>
      </c>
      <c r="C329" s="36">
        <v>5.07</v>
      </c>
      <c r="D329" s="35" t="s">
        <v>71</v>
      </c>
      <c r="E329" s="37">
        <v>12084.55</v>
      </c>
      <c r="F329" s="35" t="s">
        <v>20</v>
      </c>
      <c r="G329" s="37">
        <v>18380.600549999999</v>
      </c>
      <c r="H329" s="38">
        <v>4.1950924864817902E-4</v>
      </c>
      <c r="I329" s="39">
        <v>1.6233</v>
      </c>
      <c r="J329" s="39">
        <v>9.3996999999999993</v>
      </c>
      <c r="K329" s="13">
        <v>0</v>
      </c>
      <c r="L329" s="13">
        <v>1</v>
      </c>
      <c r="M329" s="13">
        <v>0</v>
      </c>
      <c r="N329" s="13">
        <v>0</v>
      </c>
      <c r="O329" s="13">
        <v>0</v>
      </c>
      <c r="P329" s="13">
        <v>0</v>
      </c>
      <c r="Q329" s="13">
        <v>0</v>
      </c>
      <c r="R329" s="13">
        <v>1</v>
      </c>
      <c r="S329" s="13">
        <v>0</v>
      </c>
    </row>
    <row r="330" spans="1:19" ht="15" customHeight="1" x14ac:dyDescent="0.35">
      <c r="A330" s="40" t="s">
        <v>118</v>
      </c>
      <c r="B330" s="41">
        <v>2021</v>
      </c>
      <c r="C330" s="42">
        <v>6.32</v>
      </c>
      <c r="D330" s="41" t="s">
        <v>71</v>
      </c>
      <c r="E330" s="43">
        <v>12665.78</v>
      </c>
      <c r="F330" s="41" t="s">
        <v>20</v>
      </c>
      <c r="G330" s="43">
        <v>24014.318879999999</v>
      </c>
      <c r="H330" s="44">
        <v>4.9894290419506804E-4</v>
      </c>
      <c r="I330" s="45">
        <v>1.8436999999999999</v>
      </c>
      <c r="J330" s="45">
        <v>9.4466999999999999</v>
      </c>
      <c r="K330" s="13">
        <v>0</v>
      </c>
      <c r="L330" s="13">
        <v>1</v>
      </c>
      <c r="M330" s="13">
        <v>0</v>
      </c>
      <c r="N330" s="13">
        <v>0</v>
      </c>
      <c r="O330" s="13">
        <v>0</v>
      </c>
      <c r="P330" s="13">
        <v>0</v>
      </c>
      <c r="Q330" s="13">
        <v>0</v>
      </c>
      <c r="R330" s="13">
        <v>1</v>
      </c>
      <c r="S330" s="13">
        <v>0</v>
      </c>
    </row>
    <row r="331" spans="1:19" ht="15" customHeight="1" x14ac:dyDescent="0.35">
      <c r="A331" s="34" t="s">
        <v>118</v>
      </c>
      <c r="B331" s="35">
        <v>2022</v>
      </c>
      <c r="C331" s="36">
        <v>9.2799999999999994</v>
      </c>
      <c r="D331" s="35" t="s">
        <v>71</v>
      </c>
      <c r="E331" s="37">
        <v>12651.27</v>
      </c>
      <c r="F331" s="35" t="s">
        <v>20</v>
      </c>
      <c r="G331" s="37">
        <v>35221.135679999999</v>
      </c>
      <c r="H331" s="38">
        <v>7.3346522007513302E-4</v>
      </c>
      <c r="I331" s="39">
        <v>2.2279</v>
      </c>
      <c r="J331" s="39">
        <v>9.4454999999999991</v>
      </c>
      <c r="K331" s="13">
        <v>0</v>
      </c>
      <c r="L331" s="13">
        <v>1</v>
      </c>
      <c r="M331" s="13">
        <v>0</v>
      </c>
      <c r="N331" s="13">
        <v>0</v>
      </c>
      <c r="O331" s="13">
        <v>0</v>
      </c>
      <c r="P331" s="13">
        <v>0</v>
      </c>
      <c r="Q331" s="13">
        <v>0</v>
      </c>
      <c r="R331" s="13">
        <v>1</v>
      </c>
      <c r="S331" s="13">
        <v>0</v>
      </c>
    </row>
    <row r="332" spans="1:19" ht="15" customHeight="1" x14ac:dyDescent="0.35">
      <c r="A332" s="40" t="s">
        <v>118</v>
      </c>
      <c r="B332" s="41">
        <v>2023</v>
      </c>
      <c r="C332" s="42">
        <v>8.7200000000000006</v>
      </c>
      <c r="D332" s="41" t="s">
        <v>71</v>
      </c>
      <c r="E332" s="43">
        <v>13152.05</v>
      </c>
      <c r="F332" s="41" t="s">
        <v>20</v>
      </c>
      <c r="G332" s="43">
        <v>34405.762799999997</v>
      </c>
      <c r="H332" s="44">
        <v>6.6296410338286601E-4</v>
      </c>
      <c r="I332" s="45">
        <v>2.1656</v>
      </c>
      <c r="J332" s="45">
        <v>9.4842999999999993</v>
      </c>
      <c r="K332" s="13">
        <v>0</v>
      </c>
      <c r="L332" s="13">
        <v>1</v>
      </c>
      <c r="M332" s="13">
        <v>0</v>
      </c>
      <c r="N332" s="13">
        <v>0</v>
      </c>
      <c r="O332" s="13">
        <v>0</v>
      </c>
      <c r="P332" s="13">
        <v>0</v>
      </c>
      <c r="Q332" s="13">
        <v>0</v>
      </c>
      <c r="R332" s="13">
        <v>1</v>
      </c>
      <c r="S332" s="13">
        <v>0</v>
      </c>
    </row>
    <row r="333" spans="1:19" ht="15" customHeight="1" x14ac:dyDescent="0.35">
      <c r="A333" s="34" t="s">
        <v>119</v>
      </c>
      <c r="B333" s="35">
        <v>2015</v>
      </c>
      <c r="C333" s="36">
        <v>5.98</v>
      </c>
      <c r="D333" s="35" t="s">
        <v>71</v>
      </c>
      <c r="E333" s="37">
        <v>11103.35</v>
      </c>
      <c r="F333" s="35" t="s">
        <v>20</v>
      </c>
      <c r="G333" s="37">
        <v>19919.409899999999</v>
      </c>
      <c r="H333" s="38">
        <v>5.3852769410186096E-4</v>
      </c>
      <c r="I333" s="39">
        <v>1.7884</v>
      </c>
      <c r="J333" s="39">
        <v>9.3149999999999995</v>
      </c>
      <c r="K333" s="13">
        <v>0</v>
      </c>
      <c r="L333" s="13">
        <v>1</v>
      </c>
      <c r="M333" s="13">
        <v>0</v>
      </c>
      <c r="N333" s="13">
        <v>0</v>
      </c>
      <c r="O333" s="13">
        <v>0</v>
      </c>
      <c r="P333" s="13">
        <v>0</v>
      </c>
      <c r="Q333" s="13">
        <v>0</v>
      </c>
      <c r="R333" s="13">
        <v>1</v>
      </c>
      <c r="S333" s="13">
        <v>1</v>
      </c>
    </row>
    <row r="334" spans="1:19" ht="15" customHeight="1" x14ac:dyDescent="0.35">
      <c r="A334" s="40" t="s">
        <v>119</v>
      </c>
      <c r="B334" s="41">
        <v>2016</v>
      </c>
      <c r="C334" s="42">
        <v>5.64</v>
      </c>
      <c r="D334" s="41" t="s">
        <v>71</v>
      </c>
      <c r="E334" s="43">
        <v>10955.02</v>
      </c>
      <c r="F334" s="41" t="s">
        <v>20</v>
      </c>
      <c r="G334" s="43">
        <v>18535.893840000001</v>
      </c>
      <c r="H334" s="44">
        <v>5.1478547866834902E-4</v>
      </c>
      <c r="I334" s="45">
        <v>1.7299</v>
      </c>
      <c r="J334" s="45">
        <v>9.3016000000000005</v>
      </c>
      <c r="K334" s="13">
        <v>0</v>
      </c>
      <c r="L334" s="13">
        <v>1</v>
      </c>
      <c r="M334" s="13">
        <v>0</v>
      </c>
      <c r="N334" s="13">
        <v>0</v>
      </c>
      <c r="O334" s="13">
        <v>0</v>
      </c>
      <c r="P334" s="13">
        <v>0</v>
      </c>
      <c r="Q334" s="13">
        <v>0</v>
      </c>
      <c r="R334" s="13">
        <v>1</v>
      </c>
      <c r="S334" s="13">
        <v>0</v>
      </c>
    </row>
    <row r="335" spans="1:19" ht="15" customHeight="1" x14ac:dyDescent="0.35">
      <c r="A335" s="34" t="s">
        <v>119</v>
      </c>
      <c r="B335" s="35">
        <v>2017</v>
      </c>
      <c r="C335" s="36">
        <v>5.36</v>
      </c>
      <c r="D335" s="35" t="s">
        <v>71</v>
      </c>
      <c r="E335" s="37">
        <v>11189.72</v>
      </c>
      <c r="F335" s="35" t="s">
        <v>20</v>
      </c>
      <c r="G335" s="37">
        <v>17993.069759999998</v>
      </c>
      <c r="H335" s="38">
        <v>4.7896828801006602E-4</v>
      </c>
      <c r="I335" s="39">
        <v>1.679</v>
      </c>
      <c r="J335" s="39">
        <v>9.3228000000000009</v>
      </c>
      <c r="K335" s="13">
        <v>0</v>
      </c>
      <c r="L335" s="13">
        <v>1</v>
      </c>
      <c r="M335" s="13">
        <v>0</v>
      </c>
      <c r="N335" s="13">
        <v>0</v>
      </c>
      <c r="O335" s="13">
        <v>0</v>
      </c>
      <c r="P335" s="13">
        <v>0</v>
      </c>
      <c r="Q335" s="13">
        <v>0</v>
      </c>
      <c r="R335" s="13">
        <v>1</v>
      </c>
      <c r="S335" s="13">
        <v>0</v>
      </c>
    </row>
    <row r="336" spans="1:19" ht="15" customHeight="1" x14ac:dyDescent="0.35">
      <c r="A336" s="40" t="s">
        <v>119</v>
      </c>
      <c r="B336" s="41">
        <v>2018</v>
      </c>
      <c r="C336" s="42">
        <v>6.73</v>
      </c>
      <c r="D336" s="41" t="s">
        <v>71</v>
      </c>
      <c r="E336" s="43">
        <v>11662.12</v>
      </c>
      <c r="F336" s="41" t="s">
        <v>20</v>
      </c>
      <c r="G336" s="43">
        <v>23545.82028</v>
      </c>
      <c r="H336" s="44">
        <v>5.7703256075561295E-4</v>
      </c>
      <c r="I336" s="45">
        <v>1.9066000000000001</v>
      </c>
      <c r="J336" s="45">
        <v>9.3641000000000005</v>
      </c>
      <c r="K336" s="13">
        <v>0</v>
      </c>
      <c r="L336" s="13">
        <v>1</v>
      </c>
      <c r="M336" s="13">
        <v>0</v>
      </c>
      <c r="N336" s="13">
        <v>0</v>
      </c>
      <c r="O336" s="13">
        <v>0</v>
      </c>
      <c r="P336" s="13">
        <v>0</v>
      </c>
      <c r="Q336" s="13">
        <v>0</v>
      </c>
      <c r="R336" s="13">
        <v>1</v>
      </c>
      <c r="S336" s="13">
        <v>0</v>
      </c>
    </row>
    <row r="337" spans="1:19" ht="15" customHeight="1" x14ac:dyDescent="0.35">
      <c r="A337" s="34" t="s">
        <v>119</v>
      </c>
      <c r="B337" s="35">
        <v>2019</v>
      </c>
      <c r="C337" s="36">
        <v>0.55000000000000004</v>
      </c>
      <c r="D337" s="35" t="s">
        <v>71</v>
      </c>
      <c r="E337" s="37">
        <v>11915.69</v>
      </c>
      <c r="F337" s="35" t="s">
        <v>20</v>
      </c>
      <c r="G337" s="37">
        <v>1966.0888500000001</v>
      </c>
      <c r="H337" s="38">
        <v>4.6153755782855797E-5</v>
      </c>
      <c r="I337" s="39">
        <v>-0.5978</v>
      </c>
      <c r="J337" s="39">
        <v>9.3856000000000002</v>
      </c>
      <c r="K337" s="13">
        <v>0</v>
      </c>
      <c r="L337" s="13">
        <v>1</v>
      </c>
      <c r="M337" s="13">
        <v>0</v>
      </c>
      <c r="N337" s="13">
        <v>0</v>
      </c>
      <c r="O337" s="13">
        <v>0</v>
      </c>
      <c r="P337" s="13">
        <v>0</v>
      </c>
      <c r="Q337" s="13">
        <v>0</v>
      </c>
      <c r="R337" s="13">
        <v>1</v>
      </c>
      <c r="S337" s="13">
        <v>0</v>
      </c>
    </row>
    <row r="338" spans="1:19" ht="15" customHeight="1" x14ac:dyDescent="0.35">
      <c r="A338" s="40" t="s">
        <v>119</v>
      </c>
      <c r="B338" s="41">
        <v>2020</v>
      </c>
      <c r="C338" s="42">
        <v>2.38</v>
      </c>
      <c r="D338" s="41" t="s">
        <v>71</v>
      </c>
      <c r="E338" s="43">
        <v>12084.55</v>
      </c>
      <c r="F338" s="41" t="s">
        <v>20</v>
      </c>
      <c r="G338" s="43">
        <v>8628.3687000000009</v>
      </c>
      <c r="H338" s="44">
        <v>1.96929390884155E-4</v>
      </c>
      <c r="I338" s="45">
        <v>0.86709999999999998</v>
      </c>
      <c r="J338" s="45">
        <v>9.3996999999999993</v>
      </c>
      <c r="K338" s="13">
        <v>0</v>
      </c>
      <c r="L338" s="13">
        <v>1</v>
      </c>
      <c r="M338" s="13">
        <v>0</v>
      </c>
      <c r="N338" s="13">
        <v>0</v>
      </c>
      <c r="O338" s="13">
        <v>0</v>
      </c>
      <c r="P338" s="13">
        <v>0</v>
      </c>
      <c r="Q338" s="13">
        <v>0</v>
      </c>
      <c r="R338" s="13">
        <v>1</v>
      </c>
      <c r="S338" s="13">
        <v>0</v>
      </c>
    </row>
    <row r="339" spans="1:19" ht="15" customHeight="1" x14ac:dyDescent="0.35">
      <c r="A339" s="34" t="s">
        <v>119</v>
      </c>
      <c r="B339" s="35">
        <v>2021</v>
      </c>
      <c r="C339" s="36">
        <v>1.1200000000000001</v>
      </c>
      <c r="D339" s="35" t="s">
        <v>71</v>
      </c>
      <c r="E339" s="37">
        <v>12665.78</v>
      </c>
      <c r="F339" s="35" t="s">
        <v>20</v>
      </c>
      <c r="G339" s="37">
        <v>4255.70208</v>
      </c>
      <c r="H339" s="38">
        <v>8.8420261502923398E-5</v>
      </c>
      <c r="I339" s="39">
        <v>0.1133</v>
      </c>
      <c r="J339" s="39">
        <v>9.4466999999999999</v>
      </c>
      <c r="K339" s="13">
        <v>0</v>
      </c>
      <c r="L339" s="13">
        <v>1</v>
      </c>
      <c r="M339" s="13">
        <v>0</v>
      </c>
      <c r="N339" s="13">
        <v>0</v>
      </c>
      <c r="O339" s="13">
        <v>0</v>
      </c>
      <c r="P339" s="13">
        <v>0</v>
      </c>
      <c r="Q339" s="13">
        <v>0</v>
      </c>
      <c r="R339" s="13">
        <v>1</v>
      </c>
      <c r="S339" s="13">
        <v>0</v>
      </c>
    </row>
    <row r="340" spans="1:19" ht="15" customHeight="1" x14ac:dyDescent="0.35">
      <c r="A340" s="40" t="s">
        <v>119</v>
      </c>
      <c r="B340" s="41">
        <v>2022</v>
      </c>
      <c r="C340" s="42">
        <v>0.64</v>
      </c>
      <c r="D340" s="41" t="s">
        <v>71</v>
      </c>
      <c r="E340" s="43">
        <v>12651.27</v>
      </c>
      <c r="F340" s="41" t="s">
        <v>20</v>
      </c>
      <c r="G340" s="43">
        <v>2429.0438399999998</v>
      </c>
      <c r="H340" s="44">
        <v>5.0583808281043598E-5</v>
      </c>
      <c r="I340" s="45">
        <v>-0.44629999999999997</v>
      </c>
      <c r="J340" s="45">
        <v>9.4454999999999991</v>
      </c>
      <c r="K340" s="13">
        <v>0</v>
      </c>
      <c r="L340" s="13">
        <v>1</v>
      </c>
      <c r="M340" s="13">
        <v>0</v>
      </c>
      <c r="N340" s="13">
        <v>0</v>
      </c>
      <c r="O340" s="13">
        <v>0</v>
      </c>
      <c r="P340" s="13">
        <v>0</v>
      </c>
      <c r="Q340" s="13">
        <v>0</v>
      </c>
      <c r="R340" s="13">
        <v>1</v>
      </c>
      <c r="S340" s="13">
        <v>0</v>
      </c>
    </row>
    <row r="341" spans="1:19" ht="15" customHeight="1" x14ac:dyDescent="0.35">
      <c r="A341" s="34" t="s">
        <v>119</v>
      </c>
      <c r="B341" s="35">
        <v>2023</v>
      </c>
      <c r="C341" s="36">
        <v>8.77</v>
      </c>
      <c r="D341" s="35" t="s">
        <v>71</v>
      </c>
      <c r="E341" s="37">
        <v>13152.05</v>
      </c>
      <c r="F341" s="35" t="s">
        <v>20</v>
      </c>
      <c r="G341" s="37">
        <v>34603.043550000002</v>
      </c>
      <c r="H341" s="38">
        <v>6.6676550305822598E-4</v>
      </c>
      <c r="I341" s="39">
        <v>2.1713</v>
      </c>
      <c r="J341" s="39">
        <v>9.4842999999999993</v>
      </c>
      <c r="K341" s="13">
        <v>0</v>
      </c>
      <c r="L341" s="13">
        <v>1</v>
      </c>
      <c r="M341" s="13">
        <v>0</v>
      </c>
      <c r="N341" s="13">
        <v>0</v>
      </c>
      <c r="O341" s="13">
        <v>0</v>
      </c>
      <c r="P341" s="13">
        <v>0</v>
      </c>
      <c r="Q341" s="13">
        <v>0</v>
      </c>
      <c r="R341" s="13">
        <v>1</v>
      </c>
      <c r="S341" s="13">
        <v>0</v>
      </c>
    </row>
    <row r="342" spans="1:19" ht="15" customHeight="1" x14ac:dyDescent="0.35">
      <c r="A342" s="40" t="s">
        <v>120</v>
      </c>
      <c r="B342" s="41">
        <v>2019</v>
      </c>
      <c r="C342" s="42">
        <v>3.69</v>
      </c>
      <c r="D342" s="41" t="s">
        <v>72</v>
      </c>
      <c r="E342" s="43">
        <v>60.5</v>
      </c>
      <c r="F342" s="41" t="s">
        <v>20</v>
      </c>
      <c r="G342" s="43">
        <v>66.973500000000001</v>
      </c>
      <c r="H342" s="44">
        <v>0.06</v>
      </c>
      <c r="I342" s="45">
        <v>1.3056000000000001</v>
      </c>
      <c r="J342" s="45">
        <v>4.1025999999999998</v>
      </c>
      <c r="K342" s="13">
        <v>0</v>
      </c>
      <c r="L342" s="13">
        <v>1</v>
      </c>
      <c r="M342" s="13">
        <v>0</v>
      </c>
      <c r="N342" s="13">
        <v>0</v>
      </c>
      <c r="O342" s="13">
        <v>0</v>
      </c>
      <c r="P342" s="13">
        <v>0</v>
      </c>
      <c r="Q342" s="13">
        <v>1</v>
      </c>
      <c r="R342" s="13">
        <v>0</v>
      </c>
      <c r="S342" s="13">
        <v>1</v>
      </c>
    </row>
    <row r="343" spans="1:19" ht="15" customHeight="1" x14ac:dyDescent="0.35">
      <c r="A343" s="34" t="s">
        <v>120</v>
      </c>
      <c r="B343" s="35">
        <v>2020</v>
      </c>
      <c r="C343" s="36">
        <v>3.51</v>
      </c>
      <c r="D343" s="35" t="s">
        <v>72</v>
      </c>
      <c r="E343" s="37">
        <v>59.68</v>
      </c>
      <c r="F343" s="35" t="s">
        <v>20</v>
      </c>
      <c r="G343" s="37">
        <v>62.843040000000002</v>
      </c>
      <c r="H343" s="38">
        <v>5.7844429795649299E-2</v>
      </c>
      <c r="I343" s="39">
        <v>1.2556</v>
      </c>
      <c r="J343" s="39">
        <v>4.0890000000000004</v>
      </c>
      <c r="K343" s="13">
        <v>0</v>
      </c>
      <c r="L343" s="13">
        <v>1</v>
      </c>
      <c r="M343" s="13">
        <v>0</v>
      </c>
      <c r="N343" s="13">
        <v>0</v>
      </c>
      <c r="O343" s="13">
        <v>0</v>
      </c>
      <c r="P343" s="13">
        <v>0</v>
      </c>
      <c r="Q343" s="13">
        <v>1</v>
      </c>
      <c r="R343" s="13">
        <v>0</v>
      </c>
      <c r="S343" s="13">
        <v>0</v>
      </c>
    </row>
    <row r="344" spans="1:19" ht="15" customHeight="1" x14ac:dyDescent="0.35">
      <c r="A344" s="40" t="s">
        <v>120</v>
      </c>
      <c r="B344" s="41">
        <v>2021</v>
      </c>
      <c r="C344" s="42">
        <v>3.71</v>
      </c>
      <c r="D344" s="41" t="s">
        <v>72</v>
      </c>
      <c r="E344" s="43">
        <v>62.44</v>
      </c>
      <c r="F344" s="41" t="s">
        <v>20</v>
      </c>
      <c r="G344" s="43">
        <v>69.495720000000006</v>
      </c>
      <c r="H344" s="44">
        <v>5.8480453972257297E-2</v>
      </c>
      <c r="I344" s="45">
        <v>1.3109999999999999</v>
      </c>
      <c r="J344" s="45">
        <v>4.1341999999999999</v>
      </c>
      <c r="K344" s="13">
        <v>0</v>
      </c>
      <c r="L344" s="13">
        <v>1</v>
      </c>
      <c r="M344" s="13">
        <v>0</v>
      </c>
      <c r="N344" s="13">
        <v>0</v>
      </c>
      <c r="O344" s="13">
        <v>0</v>
      </c>
      <c r="P344" s="13">
        <v>0</v>
      </c>
      <c r="Q344" s="13">
        <v>1</v>
      </c>
      <c r="R344" s="13">
        <v>0</v>
      </c>
      <c r="S344" s="13">
        <v>0</v>
      </c>
    </row>
    <row r="345" spans="1:19" ht="15" customHeight="1" x14ac:dyDescent="0.35">
      <c r="A345" s="34" t="s">
        <v>120</v>
      </c>
      <c r="B345" s="35">
        <v>2022</v>
      </c>
      <c r="C345" s="36">
        <v>3.69</v>
      </c>
      <c r="D345" s="35" t="s">
        <v>72</v>
      </c>
      <c r="E345" s="37">
        <v>63.5</v>
      </c>
      <c r="F345" s="35" t="s">
        <v>20</v>
      </c>
      <c r="G345" s="37">
        <v>70.294499999999999</v>
      </c>
      <c r="H345" s="38">
        <v>5.7209302325581399E-2</v>
      </c>
      <c r="I345" s="39">
        <v>1.3056000000000001</v>
      </c>
      <c r="J345" s="39">
        <v>4.1509999999999998</v>
      </c>
      <c r="K345" s="13">
        <v>0</v>
      </c>
      <c r="L345" s="13">
        <v>1</v>
      </c>
      <c r="M345" s="13">
        <v>0</v>
      </c>
      <c r="N345" s="13">
        <v>0</v>
      </c>
      <c r="O345" s="13">
        <v>0</v>
      </c>
      <c r="P345" s="13">
        <v>0</v>
      </c>
      <c r="Q345" s="13">
        <v>1</v>
      </c>
      <c r="R345" s="13">
        <v>0</v>
      </c>
      <c r="S345" s="13">
        <v>0</v>
      </c>
    </row>
    <row r="346" spans="1:19" ht="15" customHeight="1" x14ac:dyDescent="0.35">
      <c r="A346" s="40" t="s">
        <v>120</v>
      </c>
      <c r="B346" s="41">
        <v>2023</v>
      </c>
      <c r="C346" s="42">
        <v>3.77</v>
      </c>
      <c r="D346" s="41" t="s">
        <v>72</v>
      </c>
      <c r="E346" s="43">
        <v>64.05</v>
      </c>
      <c r="F346" s="41" t="s">
        <v>20</v>
      </c>
      <c r="G346" s="43">
        <v>72.440550000000002</v>
      </c>
      <c r="H346" s="44">
        <v>5.7955418908531897E-2</v>
      </c>
      <c r="I346" s="45">
        <v>1.3270999999999999</v>
      </c>
      <c r="J346" s="45">
        <v>4.1597</v>
      </c>
      <c r="K346" s="13">
        <v>0</v>
      </c>
      <c r="L346" s="13">
        <v>1</v>
      </c>
      <c r="M346" s="13">
        <v>0</v>
      </c>
      <c r="N346" s="13">
        <v>0</v>
      </c>
      <c r="O346" s="13">
        <v>0</v>
      </c>
      <c r="P346" s="13">
        <v>0</v>
      </c>
      <c r="Q346" s="13">
        <v>1</v>
      </c>
      <c r="R346" s="13">
        <v>0</v>
      </c>
      <c r="S346" s="13">
        <v>0</v>
      </c>
    </row>
    <row r="347" spans="1:19" ht="15" customHeight="1" x14ac:dyDescent="0.35">
      <c r="A347" s="34" t="s">
        <v>121</v>
      </c>
      <c r="B347" s="35">
        <v>2015</v>
      </c>
      <c r="C347" s="36">
        <v>18.579999999999998</v>
      </c>
      <c r="D347" s="35" t="s">
        <v>72</v>
      </c>
      <c r="E347" s="37">
        <v>19.61</v>
      </c>
      <c r="F347" s="35" t="s">
        <v>22</v>
      </c>
      <c r="G347" s="37">
        <v>109.30614</v>
      </c>
      <c r="H347" s="38">
        <v>0.90150412421154802</v>
      </c>
      <c r="I347" s="39">
        <v>2.9220999999999999</v>
      </c>
      <c r="J347" s="39">
        <v>2.976</v>
      </c>
      <c r="K347" s="13">
        <v>0</v>
      </c>
      <c r="L347" s="13">
        <v>0</v>
      </c>
      <c r="M347" s="13">
        <v>1</v>
      </c>
      <c r="N347" s="13">
        <v>0</v>
      </c>
      <c r="O347" s="13">
        <v>0</v>
      </c>
      <c r="P347" s="13">
        <v>0</v>
      </c>
      <c r="Q347" s="13">
        <v>1</v>
      </c>
      <c r="R347" s="13">
        <v>0</v>
      </c>
      <c r="S347" s="13">
        <v>1</v>
      </c>
    </row>
    <row r="348" spans="1:19" ht="15" customHeight="1" x14ac:dyDescent="0.35">
      <c r="A348" s="40" t="s">
        <v>121</v>
      </c>
      <c r="B348" s="41">
        <v>2016</v>
      </c>
      <c r="C348" s="42">
        <v>19.309999999999999</v>
      </c>
      <c r="D348" s="41" t="s">
        <v>72</v>
      </c>
      <c r="E348" s="43">
        <v>18.53</v>
      </c>
      <c r="F348" s="41" t="s">
        <v>22</v>
      </c>
      <c r="G348" s="43">
        <v>107.34429</v>
      </c>
      <c r="H348" s="44">
        <v>0.98873527905785996</v>
      </c>
      <c r="I348" s="45">
        <v>2.9605999999999999</v>
      </c>
      <c r="J348" s="45">
        <v>2.9194</v>
      </c>
      <c r="K348" s="13">
        <v>0</v>
      </c>
      <c r="L348" s="13">
        <v>0</v>
      </c>
      <c r="M348" s="13">
        <v>1</v>
      </c>
      <c r="N348" s="13">
        <v>0</v>
      </c>
      <c r="O348" s="13">
        <v>0</v>
      </c>
      <c r="P348" s="13">
        <v>0</v>
      </c>
      <c r="Q348" s="13">
        <v>1</v>
      </c>
      <c r="R348" s="13">
        <v>0</v>
      </c>
      <c r="S348" s="13">
        <v>0</v>
      </c>
    </row>
    <row r="349" spans="1:19" ht="15" customHeight="1" x14ac:dyDescent="0.35">
      <c r="A349" s="34" t="s">
        <v>121</v>
      </c>
      <c r="B349" s="35">
        <v>2017</v>
      </c>
      <c r="C349" s="36">
        <v>18.5</v>
      </c>
      <c r="D349" s="35" t="s">
        <v>72</v>
      </c>
      <c r="E349" s="37">
        <v>18.690000000000001</v>
      </c>
      <c r="F349" s="35" t="s">
        <v>22</v>
      </c>
      <c r="G349" s="37">
        <v>103.7295</v>
      </c>
      <c r="H349" s="38">
        <v>0.93956323006602305</v>
      </c>
      <c r="I349" s="39">
        <v>2.9178000000000002</v>
      </c>
      <c r="J349" s="39">
        <v>2.9279999999999999</v>
      </c>
      <c r="K349" s="13">
        <v>0</v>
      </c>
      <c r="L349" s="13">
        <v>0</v>
      </c>
      <c r="M349" s="13">
        <v>1</v>
      </c>
      <c r="N349" s="13">
        <v>0</v>
      </c>
      <c r="O349" s="13">
        <v>0</v>
      </c>
      <c r="P349" s="13">
        <v>0</v>
      </c>
      <c r="Q349" s="13">
        <v>1</v>
      </c>
      <c r="R349" s="13">
        <v>0</v>
      </c>
      <c r="S349" s="13">
        <v>0</v>
      </c>
    </row>
    <row r="350" spans="1:19" ht="15" customHeight="1" x14ac:dyDescent="0.35">
      <c r="A350" s="40" t="s">
        <v>121</v>
      </c>
      <c r="B350" s="41">
        <v>2018</v>
      </c>
      <c r="C350" s="42">
        <v>21.45</v>
      </c>
      <c r="D350" s="41" t="s">
        <v>72</v>
      </c>
      <c r="E350" s="43">
        <v>18.53</v>
      </c>
      <c r="F350" s="41" t="s">
        <v>22</v>
      </c>
      <c r="G350" s="43">
        <v>119.24055</v>
      </c>
      <c r="H350" s="44">
        <v>1.09831029185868</v>
      </c>
      <c r="I350" s="45">
        <v>3.0657000000000001</v>
      </c>
      <c r="J350" s="45">
        <v>2.9194</v>
      </c>
      <c r="K350" s="13">
        <v>0</v>
      </c>
      <c r="L350" s="13">
        <v>0</v>
      </c>
      <c r="M350" s="13">
        <v>1</v>
      </c>
      <c r="N350" s="13">
        <v>0</v>
      </c>
      <c r="O350" s="13">
        <v>0</v>
      </c>
      <c r="P350" s="13">
        <v>0</v>
      </c>
      <c r="Q350" s="13">
        <v>1</v>
      </c>
      <c r="R350" s="13">
        <v>0</v>
      </c>
      <c r="S350" s="13">
        <v>0</v>
      </c>
    </row>
    <row r="351" spans="1:19" ht="15" customHeight="1" x14ac:dyDescent="0.35">
      <c r="A351" s="34" t="s">
        <v>121</v>
      </c>
      <c r="B351" s="35">
        <v>2019</v>
      </c>
      <c r="C351" s="36">
        <v>19.440000000000001</v>
      </c>
      <c r="D351" s="35" t="s">
        <v>72</v>
      </c>
      <c r="E351" s="37">
        <v>18.02</v>
      </c>
      <c r="F351" s="35" t="s">
        <v>22</v>
      </c>
      <c r="G351" s="37">
        <v>105.09264</v>
      </c>
      <c r="H351" s="38">
        <v>1.02208201892745</v>
      </c>
      <c r="I351" s="39">
        <v>2.9672999999999998</v>
      </c>
      <c r="J351" s="39">
        <v>2.8915000000000002</v>
      </c>
      <c r="K351" s="13">
        <v>0</v>
      </c>
      <c r="L351" s="13">
        <v>0</v>
      </c>
      <c r="M351" s="13">
        <v>1</v>
      </c>
      <c r="N351" s="13">
        <v>0</v>
      </c>
      <c r="O351" s="13">
        <v>0</v>
      </c>
      <c r="P351" s="13">
        <v>0</v>
      </c>
      <c r="Q351" s="13">
        <v>1</v>
      </c>
      <c r="R351" s="13">
        <v>0</v>
      </c>
      <c r="S351" s="13">
        <v>0</v>
      </c>
    </row>
    <row r="352" spans="1:19" ht="15" customHeight="1" x14ac:dyDescent="0.35">
      <c r="A352" s="40" t="s">
        <v>121</v>
      </c>
      <c r="B352" s="41">
        <v>2020</v>
      </c>
      <c r="C352" s="42">
        <v>18.920000000000002</v>
      </c>
      <c r="D352" s="41" t="s">
        <v>72</v>
      </c>
      <c r="E352" s="43">
        <v>16.88</v>
      </c>
      <c r="F352" s="41" t="s">
        <v>22</v>
      </c>
      <c r="G352" s="43">
        <v>95.810879999999997</v>
      </c>
      <c r="H352" s="44">
        <v>1.05816554809843</v>
      </c>
      <c r="I352" s="45">
        <v>2.9401999999999999</v>
      </c>
      <c r="J352" s="45">
        <v>2.8260999999999998</v>
      </c>
      <c r="K352" s="13">
        <v>0</v>
      </c>
      <c r="L352" s="13">
        <v>0</v>
      </c>
      <c r="M352" s="13">
        <v>1</v>
      </c>
      <c r="N352" s="13">
        <v>0</v>
      </c>
      <c r="O352" s="13">
        <v>0</v>
      </c>
      <c r="P352" s="13">
        <v>0</v>
      </c>
      <c r="Q352" s="13">
        <v>1</v>
      </c>
      <c r="R352" s="13">
        <v>0</v>
      </c>
      <c r="S352" s="13">
        <v>0</v>
      </c>
    </row>
    <row r="353" spans="1:19" ht="15" customHeight="1" x14ac:dyDescent="0.35">
      <c r="A353" s="34" t="s">
        <v>121</v>
      </c>
      <c r="B353" s="35">
        <v>2021</v>
      </c>
      <c r="C353" s="36">
        <v>20.32</v>
      </c>
      <c r="D353" s="35" t="s">
        <v>72</v>
      </c>
      <c r="E353" s="37">
        <v>15.25</v>
      </c>
      <c r="F353" s="35" t="s">
        <v>22</v>
      </c>
      <c r="G353" s="37">
        <v>92.963999999999999</v>
      </c>
      <c r="H353" s="38">
        <v>1.2504615384615401</v>
      </c>
      <c r="I353" s="39">
        <v>3.0116000000000001</v>
      </c>
      <c r="J353" s="39">
        <v>2.7246000000000001</v>
      </c>
      <c r="K353" s="13">
        <v>0</v>
      </c>
      <c r="L353" s="13">
        <v>0</v>
      </c>
      <c r="M353" s="13">
        <v>1</v>
      </c>
      <c r="N353" s="13">
        <v>0</v>
      </c>
      <c r="O353" s="13">
        <v>0</v>
      </c>
      <c r="P353" s="13">
        <v>0</v>
      </c>
      <c r="Q353" s="13">
        <v>1</v>
      </c>
      <c r="R353" s="13">
        <v>0</v>
      </c>
      <c r="S353" s="13">
        <v>0</v>
      </c>
    </row>
    <row r="354" spans="1:19" ht="15" customHeight="1" x14ac:dyDescent="0.35">
      <c r="A354" s="40" t="s">
        <v>121</v>
      </c>
      <c r="B354" s="41">
        <v>2022</v>
      </c>
      <c r="C354" s="42">
        <v>19.12</v>
      </c>
      <c r="D354" s="41" t="s">
        <v>72</v>
      </c>
      <c r="E354" s="43">
        <v>14.88</v>
      </c>
      <c r="F354" s="41" t="s">
        <v>22</v>
      </c>
      <c r="G354" s="43">
        <v>85.351680000000002</v>
      </c>
      <c r="H354" s="44">
        <v>1.2040302267002501</v>
      </c>
      <c r="I354" s="45">
        <v>2.9506999999999999</v>
      </c>
      <c r="J354" s="45">
        <v>2.7</v>
      </c>
      <c r="K354" s="13">
        <v>0</v>
      </c>
      <c r="L354" s="13">
        <v>0</v>
      </c>
      <c r="M354" s="13">
        <v>1</v>
      </c>
      <c r="N354" s="13">
        <v>0</v>
      </c>
      <c r="O354" s="13">
        <v>0</v>
      </c>
      <c r="P354" s="13">
        <v>0</v>
      </c>
      <c r="Q354" s="13">
        <v>1</v>
      </c>
      <c r="R354" s="13">
        <v>0</v>
      </c>
      <c r="S354" s="13">
        <v>0</v>
      </c>
    </row>
    <row r="355" spans="1:19" ht="15" customHeight="1" x14ac:dyDescent="0.35">
      <c r="A355" s="34" t="s">
        <v>122</v>
      </c>
      <c r="B355" s="35">
        <v>2020</v>
      </c>
      <c r="C355" s="36">
        <v>7.06</v>
      </c>
      <c r="D355" s="35" t="s">
        <v>72</v>
      </c>
      <c r="E355" s="37">
        <v>558.26</v>
      </c>
      <c r="F355" s="35" t="s">
        <v>17</v>
      </c>
      <c r="G355" s="37">
        <v>1182.3946800000001</v>
      </c>
      <c r="H355" s="38">
        <v>1.2623824339305501E-2</v>
      </c>
      <c r="I355" s="39">
        <v>1.9543999999999999</v>
      </c>
      <c r="J355" s="39">
        <v>6.3247999999999998</v>
      </c>
      <c r="K355" s="13">
        <v>1</v>
      </c>
      <c r="L355" s="13">
        <v>0</v>
      </c>
      <c r="M355" s="13">
        <v>0</v>
      </c>
      <c r="N355" s="13">
        <v>0</v>
      </c>
      <c r="O355" s="13">
        <v>0</v>
      </c>
      <c r="P355" s="13">
        <v>0</v>
      </c>
      <c r="Q355" s="13">
        <v>1</v>
      </c>
      <c r="R355" s="13">
        <v>0</v>
      </c>
      <c r="S355" s="13">
        <v>1</v>
      </c>
    </row>
    <row r="356" spans="1:19" ht="15" customHeight="1" x14ac:dyDescent="0.35">
      <c r="A356" s="40" t="s">
        <v>122</v>
      </c>
      <c r="B356" s="41">
        <v>2021</v>
      </c>
      <c r="C356" s="42">
        <v>9.15</v>
      </c>
      <c r="D356" s="41" t="s">
        <v>72</v>
      </c>
      <c r="E356" s="43">
        <v>428.78</v>
      </c>
      <c r="F356" s="41" t="s">
        <v>17</v>
      </c>
      <c r="G356" s="43">
        <v>1177.0011</v>
      </c>
      <c r="H356" s="44">
        <v>2.12899623062963E-2</v>
      </c>
      <c r="I356" s="45">
        <v>2.2138</v>
      </c>
      <c r="J356" s="45">
        <v>6.0609000000000002</v>
      </c>
      <c r="K356" s="13">
        <v>1</v>
      </c>
      <c r="L356" s="13">
        <v>0</v>
      </c>
      <c r="M356" s="13">
        <v>0</v>
      </c>
      <c r="N356" s="13">
        <v>0</v>
      </c>
      <c r="O356" s="13">
        <v>0</v>
      </c>
      <c r="P356" s="13">
        <v>0</v>
      </c>
      <c r="Q356" s="13">
        <v>1</v>
      </c>
      <c r="R356" s="13">
        <v>0</v>
      </c>
      <c r="S356" s="13">
        <v>0</v>
      </c>
    </row>
    <row r="357" spans="1:19" ht="15" customHeight="1" x14ac:dyDescent="0.35">
      <c r="A357" s="34" t="s">
        <v>122</v>
      </c>
      <c r="B357" s="35">
        <v>2022</v>
      </c>
      <c r="C357" s="36">
        <v>9.84</v>
      </c>
      <c r="D357" s="35" t="s">
        <v>72</v>
      </c>
      <c r="E357" s="37">
        <v>386.19</v>
      </c>
      <c r="F357" s="35" t="s">
        <v>17</v>
      </c>
      <c r="G357" s="37">
        <v>1140.03288</v>
      </c>
      <c r="H357" s="38">
        <v>2.5413879490689299E-2</v>
      </c>
      <c r="I357" s="39">
        <v>2.2865000000000002</v>
      </c>
      <c r="J357" s="39">
        <v>5.9562999999999997</v>
      </c>
      <c r="K357" s="13">
        <v>1</v>
      </c>
      <c r="L357" s="13">
        <v>0</v>
      </c>
      <c r="M357" s="13">
        <v>0</v>
      </c>
      <c r="N357" s="13">
        <v>0</v>
      </c>
      <c r="O357" s="13">
        <v>0</v>
      </c>
      <c r="P357" s="13">
        <v>0</v>
      </c>
      <c r="Q357" s="13">
        <v>1</v>
      </c>
      <c r="R357" s="13">
        <v>0</v>
      </c>
      <c r="S357" s="13">
        <v>0</v>
      </c>
    </row>
    <row r="358" spans="1:19" ht="15" customHeight="1" x14ac:dyDescent="0.35">
      <c r="A358" s="40" t="s">
        <v>122</v>
      </c>
      <c r="B358" s="41">
        <v>2023</v>
      </c>
      <c r="C358" s="42">
        <v>8.93</v>
      </c>
      <c r="D358" s="41" t="s">
        <v>72</v>
      </c>
      <c r="E358" s="43">
        <v>382.98</v>
      </c>
      <c r="F358" s="41" t="s">
        <v>17</v>
      </c>
      <c r="G358" s="43">
        <v>1026.00342</v>
      </c>
      <c r="H358" s="44">
        <v>2.32564196051878E-2</v>
      </c>
      <c r="I358" s="45">
        <v>2.1894</v>
      </c>
      <c r="J358" s="45">
        <v>5.9480000000000004</v>
      </c>
      <c r="K358" s="13">
        <v>1</v>
      </c>
      <c r="L358" s="13">
        <v>0</v>
      </c>
      <c r="M358" s="13">
        <v>0</v>
      </c>
      <c r="N358" s="13">
        <v>0</v>
      </c>
      <c r="O358" s="13">
        <v>0</v>
      </c>
      <c r="P358" s="13">
        <v>0</v>
      </c>
      <c r="Q358" s="13">
        <v>1</v>
      </c>
      <c r="R358" s="13">
        <v>0</v>
      </c>
      <c r="S358" s="13">
        <v>0</v>
      </c>
    </row>
    <row r="359" spans="1:19" ht="15" customHeight="1" x14ac:dyDescent="0.35">
      <c r="A359" s="34" t="s">
        <v>123</v>
      </c>
      <c r="B359" s="35">
        <v>2015</v>
      </c>
      <c r="C359" s="36">
        <v>21.51</v>
      </c>
      <c r="D359" s="35" t="s">
        <v>72</v>
      </c>
      <c r="E359" s="37">
        <v>319.92</v>
      </c>
      <c r="F359" s="35" t="s">
        <v>22</v>
      </c>
      <c r="G359" s="37">
        <v>2064.4437600000001</v>
      </c>
      <c r="H359" s="38">
        <v>6.7026050105945395E-2</v>
      </c>
      <c r="I359" s="39">
        <v>3.0684999999999998</v>
      </c>
      <c r="J359" s="39">
        <v>5.7680999999999996</v>
      </c>
      <c r="K359" s="13">
        <v>0</v>
      </c>
      <c r="L359" s="13">
        <v>0</v>
      </c>
      <c r="M359" s="13">
        <v>1</v>
      </c>
      <c r="N359" s="13">
        <v>0</v>
      </c>
      <c r="O359" s="13">
        <v>0</v>
      </c>
      <c r="P359" s="13">
        <v>0</v>
      </c>
      <c r="Q359" s="13">
        <v>1</v>
      </c>
      <c r="R359" s="13">
        <v>0</v>
      </c>
      <c r="S359" s="13">
        <v>1</v>
      </c>
    </row>
    <row r="360" spans="1:19" ht="15" customHeight="1" x14ac:dyDescent="0.35">
      <c r="A360" s="40" t="s">
        <v>123</v>
      </c>
      <c r="B360" s="41">
        <v>2018</v>
      </c>
      <c r="C360" s="42">
        <v>24.8</v>
      </c>
      <c r="D360" s="41" t="s">
        <v>72</v>
      </c>
      <c r="E360" s="43">
        <v>311.01</v>
      </c>
      <c r="F360" s="41" t="s">
        <v>22</v>
      </c>
      <c r="G360" s="43">
        <v>2313.9144000000001</v>
      </c>
      <c r="H360" s="44">
        <v>7.9484631902823594E-2</v>
      </c>
      <c r="I360" s="45">
        <v>3.2107999999999999</v>
      </c>
      <c r="J360" s="45">
        <v>5.7397999999999998</v>
      </c>
      <c r="K360" s="13">
        <v>0</v>
      </c>
      <c r="L360" s="13">
        <v>0</v>
      </c>
      <c r="M360" s="13">
        <v>1</v>
      </c>
      <c r="N360" s="13">
        <v>0</v>
      </c>
      <c r="O360" s="13">
        <v>0</v>
      </c>
      <c r="P360" s="13">
        <v>0</v>
      </c>
      <c r="Q360" s="13">
        <v>1</v>
      </c>
      <c r="R360" s="13">
        <v>0</v>
      </c>
      <c r="S360" s="13">
        <v>0</v>
      </c>
    </row>
    <row r="361" spans="1:19" ht="15" customHeight="1" x14ac:dyDescent="0.35">
      <c r="A361" s="34" t="s">
        <v>123</v>
      </c>
      <c r="B361" s="35">
        <v>2019</v>
      </c>
      <c r="C361" s="36">
        <v>16.850000000000001</v>
      </c>
      <c r="D361" s="35" t="s">
        <v>72</v>
      </c>
      <c r="E361" s="37">
        <v>293.48</v>
      </c>
      <c r="F361" s="35" t="s">
        <v>22</v>
      </c>
      <c r="G361" s="37">
        <v>1483.5414000000001</v>
      </c>
      <c r="H361" s="38">
        <v>5.7219505569138802E-2</v>
      </c>
      <c r="I361" s="39">
        <v>2.8243999999999998</v>
      </c>
      <c r="J361" s="39">
        <v>5.6818</v>
      </c>
      <c r="K361" s="13">
        <v>0</v>
      </c>
      <c r="L361" s="13">
        <v>0</v>
      </c>
      <c r="M361" s="13">
        <v>1</v>
      </c>
      <c r="N361" s="13">
        <v>0</v>
      </c>
      <c r="O361" s="13">
        <v>0</v>
      </c>
      <c r="P361" s="13">
        <v>0</v>
      </c>
      <c r="Q361" s="13">
        <v>1</v>
      </c>
      <c r="R361" s="13">
        <v>0</v>
      </c>
      <c r="S361" s="13">
        <v>0</v>
      </c>
    </row>
    <row r="362" spans="1:19" ht="15" customHeight="1" x14ac:dyDescent="0.35">
      <c r="A362" s="40" t="s">
        <v>123</v>
      </c>
      <c r="B362" s="41">
        <v>2020</v>
      </c>
      <c r="C362" s="42">
        <v>16.399999999999999</v>
      </c>
      <c r="D362" s="41" t="s">
        <v>72</v>
      </c>
      <c r="E362" s="43">
        <v>255.34</v>
      </c>
      <c r="F362" s="41" t="s">
        <v>22</v>
      </c>
      <c r="G362" s="43">
        <v>1256.2728</v>
      </c>
      <c r="H362" s="44">
        <v>6.3977529843177006E-2</v>
      </c>
      <c r="I362" s="45">
        <v>2.7972999999999999</v>
      </c>
      <c r="J362" s="45">
        <v>5.5426000000000002</v>
      </c>
      <c r="K362" s="13">
        <v>0</v>
      </c>
      <c r="L362" s="13">
        <v>0</v>
      </c>
      <c r="M362" s="13">
        <v>1</v>
      </c>
      <c r="N362" s="13">
        <v>0</v>
      </c>
      <c r="O362" s="13">
        <v>0</v>
      </c>
      <c r="P362" s="13">
        <v>0</v>
      </c>
      <c r="Q362" s="13">
        <v>1</v>
      </c>
      <c r="R362" s="13">
        <v>0</v>
      </c>
      <c r="S362" s="13">
        <v>0</v>
      </c>
    </row>
    <row r="363" spans="1:19" ht="15" customHeight="1" x14ac:dyDescent="0.35">
      <c r="A363" s="34" t="s">
        <v>123</v>
      </c>
      <c r="B363" s="35">
        <v>2021</v>
      </c>
      <c r="C363" s="36">
        <v>17.62</v>
      </c>
      <c r="D363" s="35" t="s">
        <v>72</v>
      </c>
      <c r="E363" s="37">
        <v>286.49</v>
      </c>
      <c r="F363" s="35" t="s">
        <v>22</v>
      </c>
      <c r="G363" s="37">
        <v>1514.3861400000001</v>
      </c>
      <c r="H363" s="38">
        <v>6.1289088316115403E-2</v>
      </c>
      <c r="I363" s="39">
        <v>2.8690000000000002</v>
      </c>
      <c r="J363" s="39">
        <v>5.6577000000000002</v>
      </c>
      <c r="K363" s="13">
        <v>0</v>
      </c>
      <c r="L363" s="13">
        <v>0</v>
      </c>
      <c r="M363" s="13">
        <v>1</v>
      </c>
      <c r="N363" s="13">
        <v>0</v>
      </c>
      <c r="O363" s="13">
        <v>0</v>
      </c>
      <c r="P363" s="13">
        <v>0</v>
      </c>
      <c r="Q363" s="13">
        <v>1</v>
      </c>
      <c r="R363" s="13">
        <v>0</v>
      </c>
      <c r="S363" s="13">
        <v>0</v>
      </c>
    </row>
    <row r="364" spans="1:19" ht="15" customHeight="1" x14ac:dyDescent="0.35">
      <c r="A364" s="40" t="s">
        <v>123</v>
      </c>
      <c r="B364" s="41">
        <v>2022</v>
      </c>
      <c r="C364" s="42">
        <v>16.579999999999998</v>
      </c>
      <c r="D364" s="41" t="s">
        <v>72</v>
      </c>
      <c r="E364" s="43">
        <v>289.8</v>
      </c>
      <c r="F364" s="41" t="s">
        <v>22</v>
      </c>
      <c r="G364" s="43">
        <v>1441.4652000000001</v>
      </c>
      <c r="H364" s="44">
        <v>5.7015130674002698E-2</v>
      </c>
      <c r="I364" s="45">
        <v>2.8081999999999998</v>
      </c>
      <c r="J364" s="45">
        <v>5.6692</v>
      </c>
      <c r="K364" s="13">
        <v>0</v>
      </c>
      <c r="L364" s="13">
        <v>0</v>
      </c>
      <c r="M364" s="13">
        <v>1</v>
      </c>
      <c r="N364" s="13">
        <v>0</v>
      </c>
      <c r="O364" s="13">
        <v>0</v>
      </c>
      <c r="P364" s="13">
        <v>0</v>
      </c>
      <c r="Q364" s="13">
        <v>1</v>
      </c>
      <c r="R364" s="13">
        <v>0</v>
      </c>
      <c r="S364" s="13">
        <v>0</v>
      </c>
    </row>
    <row r="365" spans="1:19" ht="15" customHeight="1" x14ac:dyDescent="0.35">
      <c r="A365" s="34" t="s">
        <v>123</v>
      </c>
      <c r="B365" s="35">
        <v>2023</v>
      </c>
      <c r="C365" s="36">
        <v>16.309999999999999</v>
      </c>
      <c r="D365" s="35" t="s">
        <v>72</v>
      </c>
      <c r="E365" s="37">
        <v>271.61</v>
      </c>
      <c r="F365" s="35" t="s">
        <v>22</v>
      </c>
      <c r="G365" s="37">
        <v>1328.9877300000001</v>
      </c>
      <c r="H365" s="38">
        <v>5.9829059829059797E-2</v>
      </c>
      <c r="I365" s="39">
        <v>2.7917999999999998</v>
      </c>
      <c r="J365" s="39">
        <v>5.6044</v>
      </c>
      <c r="K365" s="13">
        <v>0</v>
      </c>
      <c r="L365" s="13">
        <v>0</v>
      </c>
      <c r="M365" s="13">
        <v>1</v>
      </c>
      <c r="N365" s="13">
        <v>0</v>
      </c>
      <c r="O365" s="13">
        <v>0</v>
      </c>
      <c r="P365" s="13">
        <v>0</v>
      </c>
      <c r="Q365" s="13">
        <v>1</v>
      </c>
      <c r="R365" s="13">
        <v>0</v>
      </c>
      <c r="S365" s="13">
        <v>0</v>
      </c>
    </row>
    <row r="366" spans="1:19" ht="15" customHeight="1" x14ac:dyDescent="0.35">
      <c r="A366" s="40" t="s">
        <v>124</v>
      </c>
      <c r="B366" s="41">
        <v>2023</v>
      </c>
      <c r="C366" s="42">
        <v>2.38</v>
      </c>
      <c r="D366" s="41" t="s">
        <v>72</v>
      </c>
      <c r="E366" s="43">
        <v>731.02</v>
      </c>
      <c r="F366" s="41" t="s">
        <v>28</v>
      </c>
      <c r="G366" s="43">
        <v>521.94827999999995</v>
      </c>
      <c r="H366" s="44">
        <v>3.2512772875058099E-3</v>
      </c>
      <c r="I366" s="45">
        <v>0.86709999999999998</v>
      </c>
      <c r="J366" s="45">
        <v>6.5944000000000003</v>
      </c>
      <c r="K366" s="13">
        <v>0</v>
      </c>
      <c r="L366" s="13">
        <v>0</v>
      </c>
      <c r="M366" s="13">
        <v>0</v>
      </c>
      <c r="N366" s="13">
        <v>0</v>
      </c>
      <c r="O366" s="13">
        <v>0</v>
      </c>
      <c r="P366" s="13">
        <v>1</v>
      </c>
      <c r="Q366" s="13">
        <v>1</v>
      </c>
      <c r="R366" s="13">
        <v>0</v>
      </c>
      <c r="S366" s="13">
        <v>1</v>
      </c>
    </row>
    <row r="367" spans="1:19" ht="15" customHeight="1" x14ac:dyDescent="0.35">
      <c r="A367" s="34" t="s">
        <v>125</v>
      </c>
      <c r="B367" s="35">
        <v>2015</v>
      </c>
      <c r="C367" s="36">
        <v>61.95</v>
      </c>
      <c r="D367" s="35" t="s">
        <v>72</v>
      </c>
      <c r="E367" s="37">
        <v>48.5</v>
      </c>
      <c r="F367" s="35" t="s">
        <v>22</v>
      </c>
      <c r="G367" s="37">
        <v>901.37249999999995</v>
      </c>
      <c r="H367" s="38">
        <v>1.2515151515151499</v>
      </c>
      <c r="I367" s="39">
        <v>4.1262999999999996</v>
      </c>
      <c r="J367" s="39">
        <v>3.8816000000000002</v>
      </c>
      <c r="K367" s="13">
        <v>0</v>
      </c>
      <c r="L367" s="13">
        <v>0</v>
      </c>
      <c r="M367" s="13">
        <v>1</v>
      </c>
      <c r="N367" s="13">
        <v>0</v>
      </c>
      <c r="O367" s="13">
        <v>0</v>
      </c>
      <c r="P367" s="13">
        <v>0</v>
      </c>
      <c r="Q367" s="13">
        <v>1</v>
      </c>
      <c r="R367" s="13">
        <v>0</v>
      </c>
      <c r="S367" s="13">
        <v>1</v>
      </c>
    </row>
    <row r="368" spans="1:19" ht="15" customHeight="1" x14ac:dyDescent="0.35">
      <c r="A368" s="40" t="s">
        <v>125</v>
      </c>
      <c r="B368" s="41">
        <v>2015</v>
      </c>
      <c r="C368" s="42">
        <v>12.39</v>
      </c>
      <c r="D368" s="41" t="s">
        <v>71</v>
      </c>
      <c r="E368" s="43">
        <v>48.5</v>
      </c>
      <c r="F368" s="41" t="s">
        <v>22</v>
      </c>
      <c r="G368" s="43">
        <v>180.27449999999999</v>
      </c>
      <c r="H368" s="44">
        <v>0.25030303030303003</v>
      </c>
      <c r="I368" s="45">
        <v>2.5169000000000001</v>
      </c>
      <c r="J368" s="45">
        <v>3.8816000000000002</v>
      </c>
      <c r="K368" s="13">
        <v>0</v>
      </c>
      <c r="L368" s="13">
        <v>0</v>
      </c>
      <c r="M368" s="13">
        <v>1</v>
      </c>
      <c r="N368" s="13">
        <v>0</v>
      </c>
      <c r="O368" s="13">
        <v>0</v>
      </c>
      <c r="P368" s="13">
        <v>0</v>
      </c>
      <c r="Q368" s="13">
        <v>0</v>
      </c>
      <c r="R368" s="13">
        <v>1</v>
      </c>
      <c r="S368" s="13">
        <v>0</v>
      </c>
    </row>
    <row r="369" spans="1:19" ht="15" customHeight="1" x14ac:dyDescent="0.35">
      <c r="A369" s="34" t="s">
        <v>125</v>
      </c>
      <c r="B369" s="35">
        <v>2016</v>
      </c>
      <c r="C369" s="36">
        <v>86.18</v>
      </c>
      <c r="D369" s="35" t="s">
        <v>72</v>
      </c>
      <c r="E369" s="37">
        <v>50.38</v>
      </c>
      <c r="F369" s="35" t="s">
        <v>22</v>
      </c>
      <c r="G369" s="37">
        <v>1302.5245199999999</v>
      </c>
      <c r="H369" s="38">
        <v>1.6773063448812799</v>
      </c>
      <c r="I369" s="39">
        <v>4.4564000000000004</v>
      </c>
      <c r="J369" s="39">
        <v>3.9196</v>
      </c>
      <c r="K369" s="13">
        <v>0</v>
      </c>
      <c r="L369" s="13">
        <v>0</v>
      </c>
      <c r="M369" s="13">
        <v>1</v>
      </c>
      <c r="N369" s="13">
        <v>0</v>
      </c>
      <c r="O369" s="13">
        <v>0</v>
      </c>
      <c r="P369" s="13">
        <v>0</v>
      </c>
      <c r="Q369" s="13">
        <v>1</v>
      </c>
      <c r="R369" s="13">
        <v>0</v>
      </c>
      <c r="S369" s="13">
        <v>0</v>
      </c>
    </row>
    <row r="370" spans="1:19" ht="15" customHeight="1" x14ac:dyDescent="0.35">
      <c r="A370" s="40" t="s">
        <v>125</v>
      </c>
      <c r="B370" s="41">
        <v>2016</v>
      </c>
      <c r="C370" s="42">
        <v>9.23</v>
      </c>
      <c r="D370" s="41" t="s">
        <v>71</v>
      </c>
      <c r="E370" s="43">
        <v>50.38</v>
      </c>
      <c r="F370" s="41" t="s">
        <v>22</v>
      </c>
      <c r="G370" s="43">
        <v>139.50221999999999</v>
      </c>
      <c r="H370" s="44">
        <v>0.17964188400155701</v>
      </c>
      <c r="I370" s="45">
        <v>2.2225000000000001</v>
      </c>
      <c r="J370" s="45">
        <v>3.9196</v>
      </c>
      <c r="K370" s="13">
        <v>0</v>
      </c>
      <c r="L370" s="13">
        <v>0</v>
      </c>
      <c r="M370" s="13">
        <v>1</v>
      </c>
      <c r="N370" s="13">
        <v>0</v>
      </c>
      <c r="O370" s="13">
        <v>0</v>
      </c>
      <c r="P370" s="13">
        <v>0</v>
      </c>
      <c r="Q370" s="13">
        <v>0</v>
      </c>
      <c r="R370" s="13">
        <v>1</v>
      </c>
      <c r="S370" s="13">
        <v>0</v>
      </c>
    </row>
    <row r="371" spans="1:19" ht="15" customHeight="1" x14ac:dyDescent="0.35">
      <c r="A371" s="34" t="s">
        <v>125</v>
      </c>
      <c r="B371" s="35">
        <v>2017</v>
      </c>
      <c r="C371" s="36">
        <v>83.92</v>
      </c>
      <c r="D371" s="35" t="s">
        <v>72</v>
      </c>
      <c r="E371" s="37">
        <v>49.47</v>
      </c>
      <c r="F371" s="35" t="s">
        <v>22</v>
      </c>
      <c r="G371" s="37">
        <v>1245.4567199999999</v>
      </c>
      <c r="H371" s="38">
        <v>1.6627699623538701</v>
      </c>
      <c r="I371" s="39">
        <v>4.4298999999999999</v>
      </c>
      <c r="J371" s="39">
        <v>3.9014000000000002</v>
      </c>
      <c r="K371" s="13">
        <v>0</v>
      </c>
      <c r="L371" s="13">
        <v>0</v>
      </c>
      <c r="M371" s="13">
        <v>1</v>
      </c>
      <c r="N371" s="13">
        <v>0</v>
      </c>
      <c r="O371" s="13">
        <v>0</v>
      </c>
      <c r="P371" s="13">
        <v>0</v>
      </c>
      <c r="Q371" s="13">
        <v>1</v>
      </c>
      <c r="R371" s="13">
        <v>0</v>
      </c>
      <c r="S371" s="13">
        <v>0</v>
      </c>
    </row>
    <row r="372" spans="1:19" ht="15" customHeight="1" x14ac:dyDescent="0.35">
      <c r="A372" s="40" t="s">
        <v>125</v>
      </c>
      <c r="B372" s="41">
        <v>2017</v>
      </c>
      <c r="C372" s="42">
        <v>6.95</v>
      </c>
      <c r="D372" s="41" t="s">
        <v>71</v>
      </c>
      <c r="E372" s="43">
        <v>49.47</v>
      </c>
      <c r="F372" s="41" t="s">
        <v>22</v>
      </c>
      <c r="G372" s="43">
        <v>103.14494999999999</v>
      </c>
      <c r="H372" s="44">
        <v>0.137705567663959</v>
      </c>
      <c r="I372" s="45">
        <v>1.9387000000000001</v>
      </c>
      <c r="J372" s="45">
        <v>3.9014000000000002</v>
      </c>
      <c r="K372" s="13">
        <v>0</v>
      </c>
      <c r="L372" s="13">
        <v>0</v>
      </c>
      <c r="M372" s="13">
        <v>1</v>
      </c>
      <c r="N372" s="13">
        <v>0</v>
      </c>
      <c r="O372" s="13">
        <v>0</v>
      </c>
      <c r="P372" s="13">
        <v>0</v>
      </c>
      <c r="Q372" s="13">
        <v>0</v>
      </c>
      <c r="R372" s="13">
        <v>1</v>
      </c>
      <c r="S372" s="13">
        <v>0</v>
      </c>
    </row>
    <row r="373" spans="1:19" ht="15" customHeight="1" x14ac:dyDescent="0.35">
      <c r="A373" s="34" t="s">
        <v>125</v>
      </c>
      <c r="B373" s="35">
        <v>2018</v>
      </c>
      <c r="C373" s="36">
        <v>100.9</v>
      </c>
      <c r="D373" s="35" t="s">
        <v>72</v>
      </c>
      <c r="E373" s="37">
        <v>48.13</v>
      </c>
      <c r="F373" s="35" t="s">
        <v>22</v>
      </c>
      <c r="G373" s="37">
        <v>1456.8951</v>
      </c>
      <c r="H373" s="38">
        <v>2.0537349888052101</v>
      </c>
      <c r="I373" s="39">
        <v>4.6140999999999996</v>
      </c>
      <c r="J373" s="39">
        <v>3.8738999999999999</v>
      </c>
      <c r="K373" s="13">
        <v>0</v>
      </c>
      <c r="L373" s="13">
        <v>0</v>
      </c>
      <c r="M373" s="13">
        <v>1</v>
      </c>
      <c r="N373" s="13">
        <v>0</v>
      </c>
      <c r="O373" s="13">
        <v>0</v>
      </c>
      <c r="P373" s="13">
        <v>0</v>
      </c>
      <c r="Q373" s="13">
        <v>1</v>
      </c>
      <c r="R373" s="13">
        <v>0</v>
      </c>
      <c r="S373" s="13">
        <v>0</v>
      </c>
    </row>
    <row r="374" spans="1:19" ht="15" customHeight="1" x14ac:dyDescent="0.35">
      <c r="A374" s="40" t="s">
        <v>125</v>
      </c>
      <c r="B374" s="41">
        <v>2018</v>
      </c>
      <c r="C374" s="42">
        <v>9.3000000000000007</v>
      </c>
      <c r="D374" s="41" t="s">
        <v>71</v>
      </c>
      <c r="E374" s="43">
        <v>48.13</v>
      </c>
      <c r="F374" s="41" t="s">
        <v>22</v>
      </c>
      <c r="G374" s="43">
        <v>134.28270000000001</v>
      </c>
      <c r="H374" s="44">
        <v>0.18929371056381</v>
      </c>
      <c r="I374" s="45">
        <v>2.23</v>
      </c>
      <c r="J374" s="45">
        <v>3.8738999999999999</v>
      </c>
      <c r="K374" s="13">
        <v>0</v>
      </c>
      <c r="L374" s="13">
        <v>0</v>
      </c>
      <c r="M374" s="13">
        <v>1</v>
      </c>
      <c r="N374" s="13">
        <v>0</v>
      </c>
      <c r="O374" s="13">
        <v>0</v>
      </c>
      <c r="P374" s="13">
        <v>0</v>
      </c>
      <c r="Q374" s="13">
        <v>0</v>
      </c>
      <c r="R374" s="13">
        <v>1</v>
      </c>
      <c r="S374" s="13">
        <v>0</v>
      </c>
    </row>
    <row r="375" spans="1:19" ht="15" customHeight="1" x14ac:dyDescent="0.35">
      <c r="A375" s="34" t="s">
        <v>125</v>
      </c>
      <c r="B375" s="35">
        <v>2019</v>
      </c>
      <c r="C375" s="36">
        <v>96.46</v>
      </c>
      <c r="D375" s="35" t="s">
        <v>72</v>
      </c>
      <c r="E375" s="37">
        <v>47.86</v>
      </c>
      <c r="F375" s="35" t="s">
        <v>22</v>
      </c>
      <c r="G375" s="37">
        <v>1384.9726800000001</v>
      </c>
      <c r="H375" s="38">
        <v>1.97421203438395</v>
      </c>
      <c r="I375" s="39">
        <v>4.5690999999999997</v>
      </c>
      <c r="J375" s="39">
        <v>3.8683000000000001</v>
      </c>
      <c r="K375" s="13">
        <v>0</v>
      </c>
      <c r="L375" s="13">
        <v>0</v>
      </c>
      <c r="M375" s="13">
        <v>1</v>
      </c>
      <c r="N375" s="13">
        <v>0</v>
      </c>
      <c r="O375" s="13">
        <v>0</v>
      </c>
      <c r="P375" s="13">
        <v>0</v>
      </c>
      <c r="Q375" s="13">
        <v>1</v>
      </c>
      <c r="R375" s="13">
        <v>0</v>
      </c>
      <c r="S375" s="13">
        <v>0</v>
      </c>
    </row>
    <row r="376" spans="1:19" ht="15" customHeight="1" x14ac:dyDescent="0.35">
      <c r="A376" s="40" t="s">
        <v>125</v>
      </c>
      <c r="B376" s="41">
        <v>2019</v>
      </c>
      <c r="C376" s="42">
        <v>8.0299999999999994</v>
      </c>
      <c r="D376" s="41" t="s">
        <v>71</v>
      </c>
      <c r="E376" s="43">
        <v>47.86</v>
      </c>
      <c r="F376" s="41" t="s">
        <v>22</v>
      </c>
      <c r="G376" s="43">
        <v>115.29474</v>
      </c>
      <c r="H376" s="44">
        <v>0.16434711420384801</v>
      </c>
      <c r="I376" s="45">
        <v>2.0832000000000002</v>
      </c>
      <c r="J376" s="45">
        <v>3.8683000000000001</v>
      </c>
      <c r="K376" s="13">
        <v>0</v>
      </c>
      <c r="L376" s="13">
        <v>0</v>
      </c>
      <c r="M376" s="13">
        <v>1</v>
      </c>
      <c r="N376" s="13">
        <v>0</v>
      </c>
      <c r="O376" s="13">
        <v>0</v>
      </c>
      <c r="P376" s="13">
        <v>0</v>
      </c>
      <c r="Q376" s="13">
        <v>0</v>
      </c>
      <c r="R376" s="13">
        <v>1</v>
      </c>
      <c r="S376" s="13">
        <v>0</v>
      </c>
    </row>
    <row r="377" spans="1:19" ht="15" customHeight="1" x14ac:dyDescent="0.35">
      <c r="A377" s="34" t="s">
        <v>125</v>
      </c>
      <c r="B377" s="35">
        <v>2020</v>
      </c>
      <c r="C377" s="36">
        <v>99.44</v>
      </c>
      <c r="D377" s="35" t="s">
        <v>72</v>
      </c>
      <c r="E377" s="37">
        <v>45.37</v>
      </c>
      <c r="F377" s="35" t="s">
        <v>22</v>
      </c>
      <c r="G377" s="37">
        <v>1353.47784</v>
      </c>
      <c r="H377" s="38">
        <v>2.1444899719646302</v>
      </c>
      <c r="I377" s="39">
        <v>4.5995999999999997</v>
      </c>
      <c r="J377" s="39">
        <v>3.8149000000000002</v>
      </c>
      <c r="K377" s="13">
        <v>0</v>
      </c>
      <c r="L377" s="13">
        <v>0</v>
      </c>
      <c r="M377" s="13">
        <v>1</v>
      </c>
      <c r="N377" s="13">
        <v>0</v>
      </c>
      <c r="O377" s="13">
        <v>0</v>
      </c>
      <c r="P377" s="13">
        <v>0</v>
      </c>
      <c r="Q377" s="13">
        <v>1</v>
      </c>
      <c r="R377" s="13">
        <v>0</v>
      </c>
      <c r="S377" s="13">
        <v>0</v>
      </c>
    </row>
    <row r="378" spans="1:19" ht="15" customHeight="1" x14ac:dyDescent="0.35">
      <c r="A378" s="40" t="s">
        <v>125</v>
      </c>
      <c r="B378" s="41">
        <v>2020</v>
      </c>
      <c r="C378" s="42">
        <v>19.850000000000001</v>
      </c>
      <c r="D378" s="41" t="s">
        <v>71</v>
      </c>
      <c r="E378" s="43">
        <v>45.37</v>
      </c>
      <c r="F378" s="41" t="s">
        <v>22</v>
      </c>
      <c r="G378" s="43">
        <v>270.17835000000002</v>
      </c>
      <c r="H378" s="44">
        <v>0.42807849902954498</v>
      </c>
      <c r="I378" s="45">
        <v>2.9882</v>
      </c>
      <c r="J378" s="45">
        <v>3.8149000000000002</v>
      </c>
      <c r="K378" s="13">
        <v>0</v>
      </c>
      <c r="L378" s="13">
        <v>0</v>
      </c>
      <c r="M378" s="13">
        <v>1</v>
      </c>
      <c r="N378" s="13">
        <v>0</v>
      </c>
      <c r="O378" s="13">
        <v>0</v>
      </c>
      <c r="P378" s="13">
        <v>0</v>
      </c>
      <c r="Q378" s="13">
        <v>0</v>
      </c>
      <c r="R378" s="13">
        <v>1</v>
      </c>
      <c r="S378" s="13">
        <v>0</v>
      </c>
    </row>
    <row r="379" spans="1:19" ht="15" customHeight="1" x14ac:dyDescent="0.35">
      <c r="A379" s="34" t="s">
        <v>125</v>
      </c>
      <c r="B379" s="35">
        <v>2021</v>
      </c>
      <c r="C379" s="36">
        <v>101.47</v>
      </c>
      <c r="D379" s="35" t="s">
        <v>72</v>
      </c>
      <c r="E379" s="37">
        <v>47</v>
      </c>
      <c r="F379" s="35" t="s">
        <v>22</v>
      </c>
      <c r="G379" s="37">
        <v>1430.7270000000001</v>
      </c>
      <c r="H379" s="38">
        <v>2.1139583333333301</v>
      </c>
      <c r="I379" s="39">
        <v>4.6197999999999997</v>
      </c>
      <c r="J379" s="39">
        <v>3.8500999999999999</v>
      </c>
      <c r="K379" s="13">
        <v>0</v>
      </c>
      <c r="L379" s="13">
        <v>0</v>
      </c>
      <c r="M379" s="13">
        <v>1</v>
      </c>
      <c r="N379" s="13">
        <v>0</v>
      </c>
      <c r="O379" s="13">
        <v>0</v>
      </c>
      <c r="P379" s="13">
        <v>0</v>
      </c>
      <c r="Q379" s="13">
        <v>1</v>
      </c>
      <c r="R379" s="13">
        <v>0</v>
      </c>
      <c r="S379" s="13">
        <v>0</v>
      </c>
    </row>
    <row r="380" spans="1:19" ht="15" customHeight="1" x14ac:dyDescent="0.35">
      <c r="A380" s="40" t="s">
        <v>125</v>
      </c>
      <c r="B380" s="41">
        <v>2021</v>
      </c>
      <c r="C380" s="42">
        <v>46.1</v>
      </c>
      <c r="D380" s="41" t="s">
        <v>71</v>
      </c>
      <c r="E380" s="43">
        <v>47</v>
      </c>
      <c r="F380" s="41" t="s">
        <v>22</v>
      </c>
      <c r="G380" s="43">
        <v>650.01</v>
      </c>
      <c r="H380" s="44">
        <v>0.96041666666666703</v>
      </c>
      <c r="I380" s="45">
        <v>3.8308</v>
      </c>
      <c r="J380" s="45">
        <v>3.8500999999999999</v>
      </c>
      <c r="K380" s="13">
        <v>0</v>
      </c>
      <c r="L380" s="13">
        <v>0</v>
      </c>
      <c r="M380" s="13">
        <v>1</v>
      </c>
      <c r="N380" s="13">
        <v>0</v>
      </c>
      <c r="O380" s="13">
        <v>0</v>
      </c>
      <c r="P380" s="13">
        <v>0</v>
      </c>
      <c r="Q380" s="13">
        <v>0</v>
      </c>
      <c r="R380" s="13">
        <v>1</v>
      </c>
      <c r="S380" s="13">
        <v>0</v>
      </c>
    </row>
    <row r="381" spans="1:19" ht="15" customHeight="1" x14ac:dyDescent="0.35">
      <c r="A381" s="34" t="s">
        <v>125</v>
      </c>
      <c r="B381" s="35">
        <v>2022</v>
      </c>
      <c r="C381" s="36">
        <v>129.86000000000001</v>
      </c>
      <c r="D381" s="35" t="s">
        <v>72</v>
      </c>
      <c r="E381" s="37">
        <v>43.85</v>
      </c>
      <c r="F381" s="35" t="s">
        <v>22</v>
      </c>
      <c r="G381" s="37">
        <v>1708.3082999999999</v>
      </c>
      <c r="H381" s="38">
        <v>2.8954292084726898</v>
      </c>
      <c r="I381" s="39">
        <v>4.8665000000000003</v>
      </c>
      <c r="J381" s="39">
        <v>3.7808000000000002</v>
      </c>
      <c r="K381" s="13">
        <v>0</v>
      </c>
      <c r="L381" s="13">
        <v>0</v>
      </c>
      <c r="M381" s="13">
        <v>1</v>
      </c>
      <c r="N381" s="13">
        <v>0</v>
      </c>
      <c r="O381" s="13">
        <v>0</v>
      </c>
      <c r="P381" s="13">
        <v>0</v>
      </c>
      <c r="Q381" s="13">
        <v>1</v>
      </c>
      <c r="R381" s="13">
        <v>0</v>
      </c>
      <c r="S381" s="13">
        <v>0</v>
      </c>
    </row>
    <row r="382" spans="1:19" ht="15" customHeight="1" x14ac:dyDescent="0.35">
      <c r="A382" s="40" t="s">
        <v>125</v>
      </c>
      <c r="B382" s="41">
        <v>2022</v>
      </c>
      <c r="C382" s="42">
        <v>65.59</v>
      </c>
      <c r="D382" s="41" t="s">
        <v>71</v>
      </c>
      <c r="E382" s="43">
        <v>43.85</v>
      </c>
      <c r="F382" s="41" t="s">
        <v>22</v>
      </c>
      <c r="G382" s="43">
        <v>862.83645000000001</v>
      </c>
      <c r="H382" s="44">
        <v>1.4624303232998901</v>
      </c>
      <c r="I382" s="45">
        <v>4.1833999999999998</v>
      </c>
      <c r="J382" s="45">
        <v>3.7808000000000002</v>
      </c>
      <c r="K382" s="13">
        <v>0</v>
      </c>
      <c r="L382" s="13">
        <v>0</v>
      </c>
      <c r="M382" s="13">
        <v>1</v>
      </c>
      <c r="N382" s="13">
        <v>0</v>
      </c>
      <c r="O382" s="13">
        <v>0</v>
      </c>
      <c r="P382" s="13">
        <v>0</v>
      </c>
      <c r="Q382" s="13">
        <v>0</v>
      </c>
      <c r="R382" s="13">
        <v>1</v>
      </c>
      <c r="S382" s="13">
        <v>0</v>
      </c>
    </row>
    <row r="383" spans="1:19" ht="15" customHeight="1" x14ac:dyDescent="0.35">
      <c r="A383" s="34" t="s">
        <v>125</v>
      </c>
      <c r="B383" s="35">
        <v>2023</v>
      </c>
      <c r="C383" s="36">
        <v>130.81</v>
      </c>
      <c r="D383" s="35" t="s">
        <v>72</v>
      </c>
      <c r="E383" s="37">
        <v>43.15</v>
      </c>
      <c r="F383" s="35" t="s">
        <v>22</v>
      </c>
      <c r="G383" s="37">
        <v>1693.33545</v>
      </c>
      <c r="H383" s="38">
        <v>2.9628539071347699</v>
      </c>
      <c r="I383" s="39">
        <v>4.8737000000000004</v>
      </c>
      <c r="J383" s="39">
        <v>3.7646999999999999</v>
      </c>
      <c r="K383" s="13">
        <v>0</v>
      </c>
      <c r="L383" s="13">
        <v>0</v>
      </c>
      <c r="M383" s="13">
        <v>1</v>
      </c>
      <c r="N383" s="13">
        <v>0</v>
      </c>
      <c r="O383" s="13">
        <v>0</v>
      </c>
      <c r="P383" s="13">
        <v>0</v>
      </c>
      <c r="Q383" s="13">
        <v>1</v>
      </c>
      <c r="R383" s="13">
        <v>0</v>
      </c>
      <c r="S383" s="13">
        <v>0</v>
      </c>
    </row>
    <row r="384" spans="1:19" ht="15" customHeight="1" x14ac:dyDescent="0.35">
      <c r="A384" s="40" t="s">
        <v>125</v>
      </c>
      <c r="B384" s="41">
        <v>2023</v>
      </c>
      <c r="C384" s="42">
        <v>93.81</v>
      </c>
      <c r="D384" s="41" t="s">
        <v>71</v>
      </c>
      <c r="E384" s="43">
        <v>43.15</v>
      </c>
      <c r="F384" s="41" t="s">
        <v>22</v>
      </c>
      <c r="G384" s="43">
        <v>1214.3704499999999</v>
      </c>
      <c r="H384" s="44">
        <v>2.12480181200453</v>
      </c>
      <c r="I384" s="45">
        <v>4.5412999999999997</v>
      </c>
      <c r="J384" s="45">
        <v>3.7646999999999999</v>
      </c>
      <c r="K384" s="13">
        <v>0</v>
      </c>
      <c r="L384" s="13">
        <v>0</v>
      </c>
      <c r="M384" s="13">
        <v>1</v>
      </c>
      <c r="N384" s="13">
        <v>0</v>
      </c>
      <c r="O384" s="13">
        <v>0</v>
      </c>
      <c r="P384" s="13">
        <v>0</v>
      </c>
      <c r="Q384" s="13">
        <v>0</v>
      </c>
      <c r="R384" s="13">
        <v>1</v>
      </c>
      <c r="S384" s="13">
        <v>0</v>
      </c>
    </row>
    <row r="385" spans="1:19" ht="15" customHeight="1" x14ac:dyDescent="0.35">
      <c r="A385" s="34" t="s">
        <v>126</v>
      </c>
      <c r="B385" s="35">
        <v>2022</v>
      </c>
      <c r="C385" s="36">
        <v>14.55</v>
      </c>
      <c r="D385" s="35" t="s">
        <v>72</v>
      </c>
      <c r="E385" s="37">
        <v>708.03</v>
      </c>
      <c r="F385" s="35" t="s">
        <v>28</v>
      </c>
      <c r="G385" s="37">
        <v>3090.5509499999998</v>
      </c>
      <c r="H385" s="38">
        <v>2.0520993469951902E-2</v>
      </c>
      <c r="I385" s="39">
        <v>2.6776</v>
      </c>
      <c r="J385" s="39">
        <v>6.5625</v>
      </c>
      <c r="K385" s="13">
        <v>0</v>
      </c>
      <c r="L385" s="13">
        <v>0</v>
      </c>
      <c r="M385" s="13">
        <v>0</v>
      </c>
      <c r="N385" s="13">
        <v>0</v>
      </c>
      <c r="O385" s="13">
        <v>0</v>
      </c>
      <c r="P385" s="13">
        <v>1</v>
      </c>
      <c r="Q385" s="13">
        <v>1</v>
      </c>
      <c r="R385" s="13">
        <v>0</v>
      </c>
      <c r="S385" s="13">
        <v>1</v>
      </c>
    </row>
    <row r="386" spans="1:19" ht="15" customHeight="1" x14ac:dyDescent="0.35">
      <c r="A386" s="40" t="s">
        <v>126</v>
      </c>
      <c r="B386" s="41">
        <v>2023</v>
      </c>
      <c r="C386" s="42">
        <v>17.25</v>
      </c>
      <c r="D386" s="41" t="s">
        <v>72</v>
      </c>
      <c r="E386" s="43">
        <v>731.02</v>
      </c>
      <c r="F386" s="41" t="s">
        <v>28</v>
      </c>
      <c r="G386" s="43">
        <v>3783.0284999999999</v>
      </c>
      <c r="H386" s="44">
        <v>2.3564929919947498E-2</v>
      </c>
      <c r="I386" s="45">
        <v>2.8477999999999999</v>
      </c>
      <c r="J386" s="45">
        <v>6.5944000000000003</v>
      </c>
      <c r="K386" s="13">
        <v>0</v>
      </c>
      <c r="L386" s="13">
        <v>0</v>
      </c>
      <c r="M386" s="13">
        <v>0</v>
      </c>
      <c r="N386" s="13">
        <v>0</v>
      </c>
      <c r="O386" s="13">
        <v>0</v>
      </c>
      <c r="P386" s="13">
        <v>1</v>
      </c>
      <c r="Q386" s="13">
        <v>1</v>
      </c>
      <c r="R386" s="13">
        <v>0</v>
      </c>
      <c r="S386" s="13">
        <v>0</v>
      </c>
    </row>
    <row r="387" spans="1:19" ht="15" customHeight="1" x14ac:dyDescent="0.35">
      <c r="A387" s="34" t="s">
        <v>127</v>
      </c>
      <c r="B387" s="35">
        <v>2015</v>
      </c>
      <c r="C387" s="36">
        <v>4.2</v>
      </c>
      <c r="D387" s="35" t="s">
        <v>71</v>
      </c>
      <c r="E387" s="37">
        <v>11103.35</v>
      </c>
      <c r="F387" s="35" t="s">
        <v>20</v>
      </c>
      <c r="G387" s="37">
        <v>13990.221</v>
      </c>
      <c r="H387" s="38">
        <v>3.7823015304813001E-4</v>
      </c>
      <c r="I387" s="39">
        <v>1.4351</v>
      </c>
      <c r="J387" s="39">
        <v>9.3149999999999995</v>
      </c>
      <c r="K387" s="13">
        <v>0</v>
      </c>
      <c r="L387" s="13">
        <v>1</v>
      </c>
      <c r="M387" s="13">
        <v>0</v>
      </c>
      <c r="N387" s="13">
        <v>0</v>
      </c>
      <c r="O387" s="13">
        <v>0</v>
      </c>
      <c r="P387" s="13">
        <v>0</v>
      </c>
      <c r="Q387" s="13">
        <v>0</v>
      </c>
      <c r="R387" s="13">
        <v>1</v>
      </c>
      <c r="S387" s="13">
        <v>1</v>
      </c>
    </row>
    <row r="388" spans="1:19" ht="15" customHeight="1" x14ac:dyDescent="0.35">
      <c r="A388" s="40" t="s">
        <v>127</v>
      </c>
      <c r="B388" s="41">
        <v>2016</v>
      </c>
      <c r="C388" s="42">
        <v>2.19</v>
      </c>
      <c r="D388" s="41" t="s">
        <v>71</v>
      </c>
      <c r="E388" s="43">
        <v>10955.02</v>
      </c>
      <c r="F388" s="41" t="s">
        <v>20</v>
      </c>
      <c r="G388" s="43">
        <v>7197.4481400000004</v>
      </c>
      <c r="H388" s="44">
        <v>1.9989010607866699E-4</v>
      </c>
      <c r="I388" s="45">
        <v>0.78390000000000004</v>
      </c>
      <c r="J388" s="45">
        <v>9.3016000000000005</v>
      </c>
      <c r="K388" s="13">
        <v>0</v>
      </c>
      <c r="L388" s="13">
        <v>1</v>
      </c>
      <c r="M388" s="13">
        <v>0</v>
      </c>
      <c r="N388" s="13">
        <v>0</v>
      </c>
      <c r="O388" s="13">
        <v>0</v>
      </c>
      <c r="P388" s="13">
        <v>0</v>
      </c>
      <c r="Q388" s="13">
        <v>0</v>
      </c>
      <c r="R388" s="13">
        <v>1</v>
      </c>
      <c r="S388" s="13">
        <v>0</v>
      </c>
    </row>
    <row r="389" spans="1:19" ht="15" customHeight="1" x14ac:dyDescent="0.35">
      <c r="A389" s="34" t="s">
        <v>127</v>
      </c>
      <c r="B389" s="35">
        <v>2017</v>
      </c>
      <c r="C389" s="36">
        <v>1.23</v>
      </c>
      <c r="D389" s="35" t="s">
        <v>71</v>
      </c>
      <c r="E389" s="37">
        <v>11189.72</v>
      </c>
      <c r="F389" s="35" t="s">
        <v>20</v>
      </c>
      <c r="G389" s="37">
        <v>4129.0066800000004</v>
      </c>
      <c r="H389" s="38">
        <v>1.09912498927683E-4</v>
      </c>
      <c r="I389" s="39">
        <v>0.20699999999999999</v>
      </c>
      <c r="J389" s="39">
        <v>9.3228000000000009</v>
      </c>
      <c r="K389" s="13">
        <v>0</v>
      </c>
      <c r="L389" s="13">
        <v>1</v>
      </c>
      <c r="M389" s="13">
        <v>0</v>
      </c>
      <c r="N389" s="13">
        <v>0</v>
      </c>
      <c r="O389" s="13">
        <v>0</v>
      </c>
      <c r="P389" s="13">
        <v>0</v>
      </c>
      <c r="Q389" s="13">
        <v>0</v>
      </c>
      <c r="R389" s="13">
        <v>1</v>
      </c>
      <c r="S389" s="13">
        <v>0</v>
      </c>
    </row>
    <row r="390" spans="1:19" ht="15" customHeight="1" x14ac:dyDescent="0.35">
      <c r="A390" s="40" t="s">
        <v>127</v>
      </c>
      <c r="B390" s="41">
        <v>2018</v>
      </c>
      <c r="C390" s="42">
        <v>1.35</v>
      </c>
      <c r="D390" s="41" t="s">
        <v>71</v>
      </c>
      <c r="E390" s="43">
        <v>11662.12</v>
      </c>
      <c r="F390" s="41" t="s">
        <v>20</v>
      </c>
      <c r="G390" s="43">
        <v>4723.1585999999998</v>
      </c>
      <c r="H390" s="44">
        <v>1.1574947355424599E-4</v>
      </c>
      <c r="I390" s="45">
        <v>0.30009999999999998</v>
      </c>
      <c r="J390" s="45">
        <v>9.3641000000000005</v>
      </c>
      <c r="K390" s="13">
        <v>0</v>
      </c>
      <c r="L390" s="13">
        <v>1</v>
      </c>
      <c r="M390" s="13">
        <v>0</v>
      </c>
      <c r="N390" s="13">
        <v>0</v>
      </c>
      <c r="O390" s="13">
        <v>0</v>
      </c>
      <c r="P390" s="13">
        <v>0</v>
      </c>
      <c r="Q390" s="13">
        <v>0</v>
      </c>
      <c r="R390" s="13">
        <v>1</v>
      </c>
      <c r="S390" s="13">
        <v>0</v>
      </c>
    </row>
    <row r="391" spans="1:19" ht="15" customHeight="1" x14ac:dyDescent="0.35">
      <c r="A391" s="34" t="s">
        <v>127</v>
      </c>
      <c r="B391" s="35">
        <v>2019</v>
      </c>
      <c r="C391" s="36">
        <v>2.08</v>
      </c>
      <c r="D391" s="35" t="s">
        <v>71</v>
      </c>
      <c r="E391" s="37">
        <v>11915.69</v>
      </c>
      <c r="F391" s="35" t="s">
        <v>20</v>
      </c>
      <c r="G391" s="37">
        <v>7435.3905599999998</v>
      </c>
      <c r="H391" s="38">
        <v>1.7454511277879999E-4</v>
      </c>
      <c r="I391" s="39">
        <v>0.73240000000000005</v>
      </c>
      <c r="J391" s="39">
        <v>9.3856000000000002</v>
      </c>
      <c r="K391" s="13">
        <v>0</v>
      </c>
      <c r="L391" s="13">
        <v>1</v>
      </c>
      <c r="M391" s="13">
        <v>0</v>
      </c>
      <c r="N391" s="13">
        <v>0</v>
      </c>
      <c r="O391" s="13">
        <v>0</v>
      </c>
      <c r="P391" s="13">
        <v>0</v>
      </c>
      <c r="Q391" s="13">
        <v>0</v>
      </c>
      <c r="R391" s="13">
        <v>1</v>
      </c>
      <c r="S391" s="13">
        <v>0</v>
      </c>
    </row>
    <row r="392" spans="1:19" ht="15" customHeight="1" x14ac:dyDescent="0.35">
      <c r="A392" s="40" t="s">
        <v>127</v>
      </c>
      <c r="B392" s="41">
        <v>2020</v>
      </c>
      <c r="C392" s="42">
        <v>2.82</v>
      </c>
      <c r="D392" s="41" t="s">
        <v>71</v>
      </c>
      <c r="E392" s="43">
        <v>12084.55</v>
      </c>
      <c r="F392" s="41" t="s">
        <v>20</v>
      </c>
      <c r="G392" s="43">
        <v>10223.5293</v>
      </c>
      <c r="H392" s="44">
        <v>2.3333650516525899E-4</v>
      </c>
      <c r="I392" s="45">
        <v>1.0367</v>
      </c>
      <c r="J392" s="45">
        <v>9.3996999999999993</v>
      </c>
      <c r="K392" s="13">
        <v>0</v>
      </c>
      <c r="L392" s="13">
        <v>1</v>
      </c>
      <c r="M392" s="13">
        <v>0</v>
      </c>
      <c r="N392" s="13">
        <v>0</v>
      </c>
      <c r="O392" s="13">
        <v>0</v>
      </c>
      <c r="P392" s="13">
        <v>0</v>
      </c>
      <c r="Q392" s="13">
        <v>0</v>
      </c>
      <c r="R392" s="13">
        <v>1</v>
      </c>
      <c r="S392" s="13">
        <v>0</v>
      </c>
    </row>
    <row r="393" spans="1:19" ht="15" customHeight="1" x14ac:dyDescent="0.35">
      <c r="A393" s="34" t="s">
        <v>127</v>
      </c>
      <c r="B393" s="35">
        <v>2021</v>
      </c>
      <c r="C393" s="36">
        <v>3.8</v>
      </c>
      <c r="D393" s="35" t="s">
        <v>71</v>
      </c>
      <c r="E393" s="37">
        <v>12665.78</v>
      </c>
      <c r="F393" s="35" t="s">
        <v>20</v>
      </c>
      <c r="G393" s="37">
        <v>14438.9892</v>
      </c>
      <c r="H393" s="38">
        <v>2.9999731581348998E-4</v>
      </c>
      <c r="I393" s="39">
        <v>1.335</v>
      </c>
      <c r="J393" s="39">
        <v>9.4466999999999999</v>
      </c>
      <c r="K393" s="13">
        <v>0</v>
      </c>
      <c r="L393" s="13">
        <v>1</v>
      </c>
      <c r="M393" s="13">
        <v>0</v>
      </c>
      <c r="N393" s="13">
        <v>0</v>
      </c>
      <c r="O393" s="13">
        <v>0</v>
      </c>
      <c r="P393" s="13">
        <v>0</v>
      </c>
      <c r="Q393" s="13">
        <v>0</v>
      </c>
      <c r="R393" s="13">
        <v>1</v>
      </c>
      <c r="S393" s="13">
        <v>0</v>
      </c>
    </row>
    <row r="394" spans="1:19" ht="15" customHeight="1" x14ac:dyDescent="0.35">
      <c r="A394" s="40" t="s">
        <v>127</v>
      </c>
      <c r="B394" s="41">
        <v>2022</v>
      </c>
      <c r="C394" s="42">
        <v>4.4000000000000004</v>
      </c>
      <c r="D394" s="41" t="s">
        <v>71</v>
      </c>
      <c r="E394" s="43">
        <v>12651.27</v>
      </c>
      <c r="F394" s="41" t="s">
        <v>20</v>
      </c>
      <c r="G394" s="43">
        <v>16699.6764</v>
      </c>
      <c r="H394" s="44">
        <v>3.4776368193217502E-4</v>
      </c>
      <c r="I394" s="45">
        <v>1.4816</v>
      </c>
      <c r="J394" s="45">
        <v>9.4454999999999991</v>
      </c>
      <c r="K394" s="13">
        <v>0</v>
      </c>
      <c r="L394" s="13">
        <v>1</v>
      </c>
      <c r="M394" s="13">
        <v>0</v>
      </c>
      <c r="N394" s="13">
        <v>0</v>
      </c>
      <c r="O394" s="13">
        <v>0</v>
      </c>
      <c r="P394" s="13">
        <v>0</v>
      </c>
      <c r="Q394" s="13">
        <v>0</v>
      </c>
      <c r="R394" s="13">
        <v>1</v>
      </c>
      <c r="S394" s="13">
        <v>0</v>
      </c>
    </row>
    <row r="395" spans="1:19" ht="15" customHeight="1" x14ac:dyDescent="0.35">
      <c r="A395" s="34" t="s">
        <v>127</v>
      </c>
      <c r="B395" s="35">
        <v>2023</v>
      </c>
      <c r="C395" s="36">
        <v>4.5999999999999996</v>
      </c>
      <c r="D395" s="35" t="s">
        <v>71</v>
      </c>
      <c r="E395" s="37">
        <v>13152.05</v>
      </c>
      <c r="F395" s="35" t="s">
        <v>20</v>
      </c>
      <c r="G395" s="37">
        <v>18149.829000000002</v>
      </c>
      <c r="H395" s="38">
        <v>3.4972877013316302E-4</v>
      </c>
      <c r="I395" s="39">
        <v>1.5261</v>
      </c>
      <c r="J395" s="39">
        <v>9.4842999999999993</v>
      </c>
      <c r="K395" s="13">
        <v>0</v>
      </c>
      <c r="L395" s="13">
        <v>1</v>
      </c>
      <c r="M395" s="13">
        <v>0</v>
      </c>
      <c r="N395" s="13">
        <v>0</v>
      </c>
      <c r="O395" s="13">
        <v>0</v>
      </c>
      <c r="P395" s="13">
        <v>0</v>
      </c>
      <c r="Q395" s="13">
        <v>0</v>
      </c>
      <c r="R395" s="13">
        <v>1</v>
      </c>
      <c r="S395" s="13">
        <v>0</v>
      </c>
    </row>
    <row r="396" spans="1:19" ht="15" customHeight="1" x14ac:dyDescent="0.35">
      <c r="A396" s="40" t="s">
        <v>128</v>
      </c>
      <c r="B396" s="41">
        <v>2015</v>
      </c>
      <c r="C396" s="42">
        <v>37.51</v>
      </c>
      <c r="D396" s="41" t="s">
        <v>71</v>
      </c>
      <c r="E396" s="43">
        <v>1192.92</v>
      </c>
      <c r="F396" s="41" t="s">
        <v>28</v>
      </c>
      <c r="G396" s="43">
        <v>13423.928760000001</v>
      </c>
      <c r="H396" s="44">
        <v>3.1417515411417803E-2</v>
      </c>
      <c r="I396" s="45">
        <v>3.6246</v>
      </c>
      <c r="J396" s="45">
        <v>7.0842000000000001</v>
      </c>
      <c r="K396" s="13">
        <v>0</v>
      </c>
      <c r="L396" s="13">
        <v>0</v>
      </c>
      <c r="M396" s="13">
        <v>0</v>
      </c>
      <c r="N396" s="13">
        <v>0</v>
      </c>
      <c r="O396" s="13">
        <v>0</v>
      </c>
      <c r="P396" s="13">
        <v>1</v>
      </c>
      <c r="Q396" s="13">
        <v>0</v>
      </c>
      <c r="R396" s="13">
        <v>1</v>
      </c>
      <c r="S396" s="13">
        <v>1</v>
      </c>
    </row>
    <row r="397" spans="1:19" ht="15" customHeight="1" x14ac:dyDescent="0.35">
      <c r="A397" s="34" t="s">
        <v>128</v>
      </c>
      <c r="B397" s="35">
        <v>2016</v>
      </c>
      <c r="C397" s="36">
        <v>14.64</v>
      </c>
      <c r="D397" s="35" t="s">
        <v>71</v>
      </c>
      <c r="E397" s="37">
        <v>1194.45</v>
      </c>
      <c r="F397" s="35" t="s">
        <v>28</v>
      </c>
      <c r="G397" s="37">
        <v>5246.0244000000002</v>
      </c>
      <c r="H397" s="38">
        <v>1.2246434397088999E-2</v>
      </c>
      <c r="I397" s="39">
        <v>2.6838000000000002</v>
      </c>
      <c r="J397" s="39">
        <v>7.0853999999999999</v>
      </c>
      <c r="K397" s="13">
        <v>0</v>
      </c>
      <c r="L397" s="13">
        <v>0</v>
      </c>
      <c r="M397" s="13">
        <v>0</v>
      </c>
      <c r="N397" s="13">
        <v>0</v>
      </c>
      <c r="O397" s="13">
        <v>0</v>
      </c>
      <c r="P397" s="13">
        <v>1</v>
      </c>
      <c r="Q397" s="13">
        <v>0</v>
      </c>
      <c r="R397" s="13">
        <v>1</v>
      </c>
      <c r="S397" s="13">
        <v>0</v>
      </c>
    </row>
    <row r="398" spans="1:19" ht="15" customHeight="1" x14ac:dyDescent="0.35">
      <c r="A398" s="40" t="s">
        <v>128</v>
      </c>
      <c r="B398" s="41">
        <v>2017</v>
      </c>
      <c r="C398" s="42">
        <v>13.39</v>
      </c>
      <c r="D398" s="41" t="s">
        <v>71</v>
      </c>
      <c r="E398" s="43">
        <v>1182.19</v>
      </c>
      <c r="F398" s="41" t="s">
        <v>28</v>
      </c>
      <c r="G398" s="43">
        <v>4748.8572299999996</v>
      </c>
      <c r="H398" s="44">
        <v>1.13168637327902E-2</v>
      </c>
      <c r="I398" s="45">
        <v>2.5945</v>
      </c>
      <c r="J398" s="45">
        <v>7.0750999999999999</v>
      </c>
      <c r="K398" s="13">
        <v>0</v>
      </c>
      <c r="L398" s="13">
        <v>0</v>
      </c>
      <c r="M398" s="13">
        <v>0</v>
      </c>
      <c r="N398" s="13">
        <v>0</v>
      </c>
      <c r="O398" s="13">
        <v>0</v>
      </c>
      <c r="P398" s="13">
        <v>1</v>
      </c>
      <c r="Q398" s="13">
        <v>0</v>
      </c>
      <c r="R398" s="13">
        <v>1</v>
      </c>
      <c r="S398" s="13">
        <v>0</v>
      </c>
    </row>
    <row r="399" spans="1:19" ht="15" customHeight="1" x14ac:dyDescent="0.35">
      <c r="A399" s="34" t="s">
        <v>128</v>
      </c>
      <c r="B399" s="35">
        <v>2018</v>
      </c>
      <c r="C399" s="36">
        <v>5.69</v>
      </c>
      <c r="D399" s="35" t="s">
        <v>71</v>
      </c>
      <c r="E399" s="37">
        <v>1143.5999999999999</v>
      </c>
      <c r="F399" s="35" t="s">
        <v>28</v>
      </c>
      <c r="G399" s="37">
        <v>1952.1251999999999</v>
      </c>
      <c r="H399" s="38">
        <v>4.9711689673248302E-3</v>
      </c>
      <c r="I399" s="39">
        <v>1.7386999999999999</v>
      </c>
      <c r="J399" s="39">
        <v>7.0419</v>
      </c>
      <c r="K399" s="13">
        <v>0</v>
      </c>
      <c r="L399" s="13">
        <v>0</v>
      </c>
      <c r="M399" s="13">
        <v>0</v>
      </c>
      <c r="N399" s="13">
        <v>0</v>
      </c>
      <c r="O399" s="13">
        <v>0</v>
      </c>
      <c r="P399" s="13">
        <v>1</v>
      </c>
      <c r="Q399" s="13">
        <v>0</v>
      </c>
      <c r="R399" s="13">
        <v>1</v>
      </c>
      <c r="S399" s="13">
        <v>0</v>
      </c>
    </row>
    <row r="400" spans="1:19" ht="15" customHeight="1" x14ac:dyDescent="0.35">
      <c r="A400" s="40" t="s">
        <v>128</v>
      </c>
      <c r="B400" s="41">
        <v>2019</v>
      </c>
      <c r="C400" s="42">
        <v>5.85</v>
      </c>
      <c r="D400" s="41" t="s">
        <v>71</v>
      </c>
      <c r="E400" s="43">
        <v>1108.04</v>
      </c>
      <c r="F400" s="41" t="s">
        <v>28</v>
      </c>
      <c r="G400" s="43">
        <v>1944.6102000000001</v>
      </c>
      <c r="H400" s="44">
        <v>5.2748322873836804E-3</v>
      </c>
      <c r="I400" s="45">
        <v>1.7664</v>
      </c>
      <c r="J400" s="45">
        <v>7.0103</v>
      </c>
      <c r="K400" s="13">
        <v>0</v>
      </c>
      <c r="L400" s="13">
        <v>0</v>
      </c>
      <c r="M400" s="13">
        <v>0</v>
      </c>
      <c r="N400" s="13">
        <v>0</v>
      </c>
      <c r="O400" s="13">
        <v>0</v>
      </c>
      <c r="P400" s="13">
        <v>1</v>
      </c>
      <c r="Q400" s="13">
        <v>0</v>
      </c>
      <c r="R400" s="13">
        <v>1</v>
      </c>
      <c r="S400" s="13">
        <v>0</v>
      </c>
    </row>
    <row r="401" spans="1:19" ht="15" customHeight="1" x14ac:dyDescent="0.35">
      <c r="A401" s="34" t="s">
        <v>128</v>
      </c>
      <c r="B401" s="35">
        <v>2020</v>
      </c>
      <c r="C401" s="36">
        <v>5.58</v>
      </c>
      <c r="D401" s="35" t="s">
        <v>71</v>
      </c>
      <c r="E401" s="37">
        <v>1051.6400000000001</v>
      </c>
      <c r="F401" s="35" t="s">
        <v>28</v>
      </c>
      <c r="G401" s="37">
        <v>1760.4453599999999</v>
      </c>
      <c r="H401" s="38">
        <v>5.3009575923392603E-3</v>
      </c>
      <c r="I401" s="39">
        <v>1.7192000000000001</v>
      </c>
      <c r="J401" s="39">
        <v>6.9581</v>
      </c>
      <c r="K401" s="13">
        <v>0</v>
      </c>
      <c r="L401" s="13">
        <v>0</v>
      </c>
      <c r="M401" s="13">
        <v>0</v>
      </c>
      <c r="N401" s="13">
        <v>0</v>
      </c>
      <c r="O401" s="13">
        <v>0</v>
      </c>
      <c r="P401" s="13">
        <v>1</v>
      </c>
      <c r="Q401" s="13">
        <v>0</v>
      </c>
      <c r="R401" s="13">
        <v>1</v>
      </c>
      <c r="S401" s="13">
        <v>0</v>
      </c>
    </row>
    <row r="402" spans="1:19" ht="15" customHeight="1" x14ac:dyDescent="0.35">
      <c r="A402" s="40" t="s">
        <v>128</v>
      </c>
      <c r="B402" s="41">
        <v>2021</v>
      </c>
      <c r="C402" s="42">
        <v>4.87</v>
      </c>
      <c r="D402" s="41" t="s">
        <v>71</v>
      </c>
      <c r="E402" s="43">
        <v>1103.6300000000001</v>
      </c>
      <c r="F402" s="41" t="s">
        <v>28</v>
      </c>
      <c r="G402" s="43">
        <v>1612.4034300000001</v>
      </c>
      <c r="H402" s="44">
        <v>4.4087160406652004E-3</v>
      </c>
      <c r="I402" s="45">
        <v>1.5831</v>
      </c>
      <c r="J402" s="45">
        <v>7.0064000000000002</v>
      </c>
      <c r="K402" s="13">
        <v>0</v>
      </c>
      <c r="L402" s="13">
        <v>0</v>
      </c>
      <c r="M402" s="13">
        <v>0</v>
      </c>
      <c r="N402" s="13">
        <v>0</v>
      </c>
      <c r="O402" s="13">
        <v>0</v>
      </c>
      <c r="P402" s="13">
        <v>1</v>
      </c>
      <c r="Q402" s="13">
        <v>0</v>
      </c>
      <c r="R402" s="13">
        <v>1</v>
      </c>
      <c r="S402" s="13">
        <v>0</v>
      </c>
    </row>
    <row r="403" spans="1:19" ht="15" customHeight="1" x14ac:dyDescent="0.35">
      <c r="A403" s="34" t="s">
        <v>128</v>
      </c>
      <c r="B403" s="35">
        <v>2022</v>
      </c>
      <c r="C403" s="36">
        <v>4.42</v>
      </c>
      <c r="D403" s="35" t="s">
        <v>71</v>
      </c>
      <c r="E403" s="37">
        <v>1078.93</v>
      </c>
      <c r="F403" s="35" t="s">
        <v>28</v>
      </c>
      <c r="G403" s="37">
        <v>1430.6611800000001</v>
      </c>
      <c r="H403" s="38">
        <v>4.0928578704175298E-3</v>
      </c>
      <c r="I403" s="39">
        <v>1.4861</v>
      </c>
      <c r="J403" s="39">
        <v>6.9836999999999998</v>
      </c>
      <c r="K403" s="13">
        <v>0</v>
      </c>
      <c r="L403" s="13">
        <v>0</v>
      </c>
      <c r="M403" s="13">
        <v>0</v>
      </c>
      <c r="N403" s="13">
        <v>0</v>
      </c>
      <c r="O403" s="13">
        <v>0</v>
      </c>
      <c r="P403" s="13">
        <v>1</v>
      </c>
      <c r="Q403" s="13">
        <v>0</v>
      </c>
      <c r="R403" s="13">
        <v>1</v>
      </c>
      <c r="S403" s="13">
        <v>0</v>
      </c>
    </row>
    <row r="404" spans="1:19" ht="15" customHeight="1" x14ac:dyDescent="0.35">
      <c r="A404" s="40" t="s">
        <v>128</v>
      </c>
      <c r="B404" s="41">
        <v>2023</v>
      </c>
      <c r="C404" s="42">
        <v>41.95</v>
      </c>
      <c r="D404" s="41" t="s">
        <v>71</v>
      </c>
      <c r="E404" s="43">
        <v>1034.23</v>
      </c>
      <c r="F404" s="41" t="s">
        <v>28</v>
      </c>
      <c r="G404" s="43">
        <v>13015.78455</v>
      </c>
      <c r="H404" s="44">
        <v>4.0522395989297098E-2</v>
      </c>
      <c r="I404" s="45">
        <v>3.7364999999999999</v>
      </c>
      <c r="J404" s="45">
        <v>6.9413999999999998</v>
      </c>
      <c r="K404" s="13">
        <v>0</v>
      </c>
      <c r="L404" s="13">
        <v>0</v>
      </c>
      <c r="M404" s="13">
        <v>0</v>
      </c>
      <c r="N404" s="13">
        <v>0</v>
      </c>
      <c r="O404" s="13">
        <v>0</v>
      </c>
      <c r="P404" s="13">
        <v>1</v>
      </c>
      <c r="Q404" s="13">
        <v>0</v>
      </c>
      <c r="R404" s="13">
        <v>1</v>
      </c>
      <c r="S404" s="13">
        <v>0</v>
      </c>
    </row>
    <row r="405" spans="1:19" ht="15" customHeight="1" x14ac:dyDescent="0.35">
      <c r="A405" s="34" t="s">
        <v>129</v>
      </c>
      <c r="B405" s="35">
        <v>2015</v>
      </c>
      <c r="C405" s="36">
        <v>0.01</v>
      </c>
      <c r="D405" s="35" t="s">
        <v>72</v>
      </c>
      <c r="E405" s="37">
        <v>281.67</v>
      </c>
      <c r="F405" s="35" t="s">
        <v>22</v>
      </c>
      <c r="G405" s="37">
        <v>0.84501000000000004</v>
      </c>
      <c r="H405" s="38">
        <v>3.5376941309654397E-5</v>
      </c>
      <c r="I405" s="39">
        <v>-4.6052</v>
      </c>
      <c r="J405" s="39">
        <v>5.6406999999999998</v>
      </c>
      <c r="K405" s="13">
        <v>0</v>
      </c>
      <c r="L405" s="13">
        <v>0</v>
      </c>
      <c r="M405" s="13">
        <v>1</v>
      </c>
      <c r="N405" s="13">
        <v>0</v>
      </c>
      <c r="O405" s="13">
        <v>0</v>
      </c>
      <c r="P405" s="13">
        <v>0</v>
      </c>
      <c r="Q405" s="13">
        <v>1</v>
      </c>
      <c r="R405" s="13">
        <v>0</v>
      </c>
      <c r="S405" s="13">
        <v>1</v>
      </c>
    </row>
    <row r="406" spans="1:19" ht="15" customHeight="1" x14ac:dyDescent="0.35">
      <c r="A406" s="40" t="s">
        <v>129</v>
      </c>
      <c r="B406" s="41">
        <v>2017</v>
      </c>
      <c r="C406" s="42">
        <v>0.01</v>
      </c>
      <c r="D406" s="41" t="s">
        <v>72</v>
      </c>
      <c r="E406" s="43">
        <v>251.91</v>
      </c>
      <c r="F406" s="41" t="s">
        <v>22</v>
      </c>
      <c r="G406" s="43">
        <v>0.75573000000000001</v>
      </c>
      <c r="H406" s="44">
        <v>3.9539757225890602E-5</v>
      </c>
      <c r="I406" s="45">
        <v>-4.6052</v>
      </c>
      <c r="J406" s="45">
        <v>5.5290999999999997</v>
      </c>
      <c r="K406" s="13">
        <v>0</v>
      </c>
      <c r="L406" s="13">
        <v>0</v>
      </c>
      <c r="M406" s="13">
        <v>1</v>
      </c>
      <c r="N406" s="13">
        <v>0</v>
      </c>
      <c r="O406" s="13">
        <v>0</v>
      </c>
      <c r="P406" s="13">
        <v>0</v>
      </c>
      <c r="Q406" s="13">
        <v>1</v>
      </c>
      <c r="R406" s="13">
        <v>0</v>
      </c>
      <c r="S406" s="13">
        <v>0</v>
      </c>
    </row>
    <row r="407" spans="1:19" ht="15" customHeight="1" x14ac:dyDescent="0.35">
      <c r="A407" s="34" t="s">
        <v>129</v>
      </c>
      <c r="B407" s="35">
        <v>2018</v>
      </c>
      <c r="C407" s="36">
        <v>0.02</v>
      </c>
      <c r="D407" s="35" t="s">
        <v>72</v>
      </c>
      <c r="E407" s="37">
        <v>268.36</v>
      </c>
      <c r="F407" s="35" t="s">
        <v>22</v>
      </c>
      <c r="G407" s="37">
        <v>1.61016</v>
      </c>
      <c r="H407" s="38">
        <v>7.4250074250074204E-5</v>
      </c>
      <c r="I407" s="39">
        <v>-3.9119999999999999</v>
      </c>
      <c r="J407" s="39">
        <v>5.5922999999999998</v>
      </c>
      <c r="K407" s="13">
        <v>0</v>
      </c>
      <c r="L407" s="13">
        <v>0</v>
      </c>
      <c r="M407" s="13">
        <v>1</v>
      </c>
      <c r="N407" s="13">
        <v>0</v>
      </c>
      <c r="O407" s="13">
        <v>0</v>
      </c>
      <c r="P407" s="13">
        <v>0</v>
      </c>
      <c r="Q407" s="13">
        <v>1</v>
      </c>
      <c r="R407" s="13">
        <v>0</v>
      </c>
      <c r="S407" s="13">
        <v>0</v>
      </c>
    </row>
    <row r="408" spans="1:19" ht="15" customHeight="1" x14ac:dyDescent="0.35">
      <c r="A408" s="40" t="s">
        <v>129</v>
      </c>
      <c r="B408" s="41">
        <v>2019</v>
      </c>
      <c r="C408" s="42">
        <v>0.37</v>
      </c>
      <c r="D408" s="41" t="s">
        <v>72</v>
      </c>
      <c r="E408" s="43">
        <v>257.89</v>
      </c>
      <c r="F408" s="41" t="s">
        <v>22</v>
      </c>
      <c r="G408" s="43">
        <v>28.625789999999999</v>
      </c>
      <c r="H408" s="44">
        <v>1.42917841554328E-3</v>
      </c>
      <c r="I408" s="45">
        <v>-0.99429999999999996</v>
      </c>
      <c r="J408" s="45">
        <v>5.5525000000000002</v>
      </c>
      <c r="K408" s="13">
        <v>0</v>
      </c>
      <c r="L408" s="13">
        <v>0</v>
      </c>
      <c r="M408" s="13">
        <v>1</v>
      </c>
      <c r="N408" s="13">
        <v>0</v>
      </c>
      <c r="O408" s="13">
        <v>0</v>
      </c>
      <c r="P408" s="13">
        <v>0</v>
      </c>
      <c r="Q408" s="13">
        <v>1</v>
      </c>
      <c r="R408" s="13">
        <v>0</v>
      </c>
      <c r="S408" s="13">
        <v>0</v>
      </c>
    </row>
    <row r="409" spans="1:19" ht="15" customHeight="1" x14ac:dyDescent="0.35">
      <c r="A409" s="34" t="s">
        <v>129</v>
      </c>
      <c r="B409" s="35">
        <v>2020</v>
      </c>
      <c r="C409" s="36">
        <v>0.38</v>
      </c>
      <c r="D409" s="35" t="s">
        <v>72</v>
      </c>
      <c r="E409" s="37">
        <v>246.25</v>
      </c>
      <c r="F409" s="35" t="s">
        <v>22</v>
      </c>
      <c r="G409" s="37">
        <v>28.072500000000002</v>
      </c>
      <c r="H409" s="38">
        <v>1.53690596562184E-3</v>
      </c>
      <c r="I409" s="39">
        <v>-0.96760000000000002</v>
      </c>
      <c r="J409" s="39">
        <v>5.5063000000000004</v>
      </c>
      <c r="K409" s="13">
        <v>0</v>
      </c>
      <c r="L409" s="13">
        <v>0</v>
      </c>
      <c r="M409" s="13">
        <v>1</v>
      </c>
      <c r="N409" s="13">
        <v>0</v>
      </c>
      <c r="O409" s="13">
        <v>0</v>
      </c>
      <c r="P409" s="13">
        <v>0</v>
      </c>
      <c r="Q409" s="13">
        <v>1</v>
      </c>
      <c r="R409" s="13">
        <v>0</v>
      </c>
      <c r="S409" s="13">
        <v>0</v>
      </c>
    </row>
    <row r="410" spans="1:19" ht="15" customHeight="1" x14ac:dyDescent="0.35">
      <c r="A410" s="40" t="s">
        <v>129</v>
      </c>
      <c r="B410" s="41">
        <v>2021</v>
      </c>
      <c r="C410" s="42">
        <v>0.36</v>
      </c>
      <c r="D410" s="41" t="s">
        <v>72</v>
      </c>
      <c r="E410" s="43">
        <v>260.23</v>
      </c>
      <c r="F410" s="41" t="s">
        <v>22</v>
      </c>
      <c r="G410" s="43">
        <v>28.104839999999999</v>
      </c>
      <c r="H410" s="44">
        <v>1.37809593078896E-3</v>
      </c>
      <c r="I410" s="45">
        <v>-1.0217000000000001</v>
      </c>
      <c r="J410" s="45">
        <v>5.5616000000000003</v>
      </c>
      <c r="K410" s="13">
        <v>0</v>
      </c>
      <c r="L410" s="13">
        <v>0</v>
      </c>
      <c r="M410" s="13">
        <v>1</v>
      </c>
      <c r="N410" s="13">
        <v>0</v>
      </c>
      <c r="O410" s="13">
        <v>0</v>
      </c>
      <c r="P410" s="13">
        <v>0</v>
      </c>
      <c r="Q410" s="13">
        <v>1</v>
      </c>
      <c r="R410" s="13">
        <v>0</v>
      </c>
      <c r="S410" s="13">
        <v>0</v>
      </c>
    </row>
    <row r="411" spans="1:19" ht="15" customHeight="1" x14ac:dyDescent="0.35">
      <c r="A411" s="34" t="s">
        <v>129</v>
      </c>
      <c r="B411" s="35">
        <v>2022</v>
      </c>
      <c r="C411" s="36">
        <v>1.03</v>
      </c>
      <c r="D411" s="35" t="s">
        <v>72</v>
      </c>
      <c r="E411" s="37">
        <v>181.31</v>
      </c>
      <c r="F411" s="35" t="s">
        <v>22</v>
      </c>
      <c r="G411" s="37">
        <v>56.024790000000003</v>
      </c>
      <c r="H411" s="38">
        <v>5.6497175141242903E-3</v>
      </c>
      <c r="I411" s="39">
        <v>2.9600000000000001E-2</v>
      </c>
      <c r="J411" s="39">
        <v>5.2001999999999997</v>
      </c>
      <c r="K411" s="13">
        <v>0</v>
      </c>
      <c r="L411" s="13">
        <v>0</v>
      </c>
      <c r="M411" s="13">
        <v>1</v>
      </c>
      <c r="N411" s="13">
        <v>0</v>
      </c>
      <c r="O411" s="13">
        <v>0</v>
      </c>
      <c r="P411" s="13">
        <v>0</v>
      </c>
      <c r="Q411" s="13">
        <v>1</v>
      </c>
      <c r="R411" s="13">
        <v>0</v>
      </c>
      <c r="S411" s="13">
        <v>0</v>
      </c>
    </row>
    <row r="412" spans="1:19" ht="15" customHeight="1" x14ac:dyDescent="0.35">
      <c r="A412" s="40" t="s">
        <v>129</v>
      </c>
      <c r="B412" s="41">
        <v>2023</v>
      </c>
      <c r="C412" s="42">
        <v>0.82</v>
      </c>
      <c r="D412" s="41" t="s">
        <v>72</v>
      </c>
      <c r="E412" s="43">
        <v>179.25</v>
      </c>
      <c r="F412" s="41" t="s">
        <v>22</v>
      </c>
      <c r="G412" s="43">
        <v>44.095500000000001</v>
      </c>
      <c r="H412" s="44">
        <v>4.5492371705963897E-3</v>
      </c>
      <c r="I412" s="45">
        <v>-0.19850000000000001</v>
      </c>
      <c r="J412" s="45">
        <v>5.1887999999999996</v>
      </c>
      <c r="K412" s="13">
        <v>0</v>
      </c>
      <c r="L412" s="13">
        <v>0</v>
      </c>
      <c r="M412" s="13">
        <v>1</v>
      </c>
      <c r="N412" s="13">
        <v>0</v>
      </c>
      <c r="O412" s="13">
        <v>0</v>
      </c>
      <c r="P412" s="13">
        <v>0</v>
      </c>
      <c r="Q412" s="13">
        <v>1</v>
      </c>
      <c r="R412" s="13">
        <v>0</v>
      </c>
      <c r="S412" s="13">
        <v>0</v>
      </c>
    </row>
    <row r="413" spans="1:19" ht="15" customHeight="1" x14ac:dyDescent="0.35">
      <c r="A413" s="34" t="s">
        <v>130</v>
      </c>
      <c r="B413" s="35">
        <v>2015</v>
      </c>
      <c r="C413" s="36">
        <v>26.71</v>
      </c>
      <c r="D413" s="35" t="s">
        <v>72</v>
      </c>
      <c r="E413" s="37">
        <v>512.42999999999995</v>
      </c>
      <c r="F413" s="35" t="s">
        <v>22</v>
      </c>
      <c r="G413" s="37">
        <v>4106.1015900000002</v>
      </c>
      <c r="H413" s="38">
        <v>5.2022671055450602E-2</v>
      </c>
      <c r="I413" s="39">
        <v>3.2850000000000001</v>
      </c>
      <c r="J413" s="39">
        <v>6.2392000000000003</v>
      </c>
      <c r="K413" s="13">
        <v>0</v>
      </c>
      <c r="L413" s="13">
        <v>0</v>
      </c>
      <c r="M413" s="13">
        <v>1</v>
      </c>
      <c r="N413" s="13">
        <v>0</v>
      </c>
      <c r="O413" s="13">
        <v>0</v>
      </c>
      <c r="P413" s="13">
        <v>0</v>
      </c>
      <c r="Q413" s="13">
        <v>1</v>
      </c>
      <c r="R413" s="13">
        <v>0</v>
      </c>
      <c r="S413" s="13">
        <v>1</v>
      </c>
    </row>
    <row r="414" spans="1:19" ht="15" customHeight="1" x14ac:dyDescent="0.35">
      <c r="A414" s="40" t="s">
        <v>130</v>
      </c>
      <c r="B414" s="41">
        <v>2016</v>
      </c>
      <c r="C414" s="42">
        <v>23.72</v>
      </c>
      <c r="D414" s="41" t="s">
        <v>72</v>
      </c>
      <c r="E414" s="43">
        <v>499.14</v>
      </c>
      <c r="F414" s="41" t="s">
        <v>22</v>
      </c>
      <c r="G414" s="43">
        <v>3551.88024</v>
      </c>
      <c r="H414" s="44">
        <v>4.7426720518254903E-2</v>
      </c>
      <c r="I414" s="45">
        <v>3.1663000000000001</v>
      </c>
      <c r="J414" s="45">
        <v>6.2129000000000003</v>
      </c>
      <c r="K414" s="13">
        <v>0</v>
      </c>
      <c r="L414" s="13">
        <v>0</v>
      </c>
      <c r="M414" s="13">
        <v>1</v>
      </c>
      <c r="N414" s="13">
        <v>0</v>
      </c>
      <c r="O414" s="13">
        <v>0</v>
      </c>
      <c r="P414" s="13">
        <v>0</v>
      </c>
      <c r="Q414" s="13">
        <v>1</v>
      </c>
      <c r="R414" s="13">
        <v>0</v>
      </c>
      <c r="S414" s="13">
        <v>0</v>
      </c>
    </row>
    <row r="415" spans="1:19" ht="15" customHeight="1" x14ac:dyDescent="0.35">
      <c r="A415" s="34" t="s">
        <v>130</v>
      </c>
      <c r="B415" s="35">
        <v>2017</v>
      </c>
      <c r="C415" s="36">
        <v>22.41</v>
      </c>
      <c r="D415" s="35" t="s">
        <v>72</v>
      </c>
      <c r="E415" s="37">
        <v>488.5</v>
      </c>
      <c r="F415" s="35" t="s">
        <v>22</v>
      </c>
      <c r="G415" s="37">
        <v>3284.1855</v>
      </c>
      <c r="H415" s="38">
        <v>4.57814096016343E-2</v>
      </c>
      <c r="I415" s="39">
        <v>3.1095000000000002</v>
      </c>
      <c r="J415" s="39">
        <v>6.1913</v>
      </c>
      <c r="K415" s="13">
        <v>0</v>
      </c>
      <c r="L415" s="13">
        <v>0</v>
      </c>
      <c r="M415" s="13">
        <v>1</v>
      </c>
      <c r="N415" s="13">
        <v>0</v>
      </c>
      <c r="O415" s="13">
        <v>0</v>
      </c>
      <c r="P415" s="13">
        <v>0</v>
      </c>
      <c r="Q415" s="13">
        <v>1</v>
      </c>
      <c r="R415" s="13">
        <v>0</v>
      </c>
      <c r="S415" s="13">
        <v>0</v>
      </c>
    </row>
    <row r="416" spans="1:19" ht="15" customHeight="1" x14ac:dyDescent="0.35">
      <c r="A416" s="40" t="s">
        <v>130</v>
      </c>
      <c r="B416" s="41">
        <v>2018</v>
      </c>
      <c r="C416" s="42">
        <v>25.46</v>
      </c>
      <c r="D416" s="41" t="s">
        <v>72</v>
      </c>
      <c r="E416" s="43">
        <v>480.94</v>
      </c>
      <c r="F416" s="41" t="s">
        <v>22</v>
      </c>
      <c r="G416" s="43">
        <v>3673.4197199999999</v>
      </c>
      <c r="H416" s="44">
        <v>5.2828152882101499E-2</v>
      </c>
      <c r="I416" s="45">
        <v>3.2370999999999999</v>
      </c>
      <c r="J416" s="45">
        <v>6.1757</v>
      </c>
      <c r="K416" s="13">
        <v>0</v>
      </c>
      <c r="L416" s="13">
        <v>0</v>
      </c>
      <c r="M416" s="13">
        <v>1</v>
      </c>
      <c r="N416" s="13">
        <v>0</v>
      </c>
      <c r="O416" s="13">
        <v>0</v>
      </c>
      <c r="P416" s="13">
        <v>0</v>
      </c>
      <c r="Q416" s="13">
        <v>1</v>
      </c>
      <c r="R416" s="13">
        <v>0</v>
      </c>
      <c r="S416" s="13">
        <v>0</v>
      </c>
    </row>
    <row r="417" spans="1:19" ht="15" customHeight="1" x14ac:dyDescent="0.35">
      <c r="A417" s="34" t="s">
        <v>130</v>
      </c>
      <c r="B417" s="35">
        <v>2019</v>
      </c>
      <c r="C417" s="36">
        <v>23.59</v>
      </c>
      <c r="D417" s="35" t="s">
        <v>72</v>
      </c>
      <c r="E417" s="37">
        <v>466.07</v>
      </c>
      <c r="F417" s="35" t="s">
        <v>22</v>
      </c>
      <c r="G417" s="37">
        <v>3298.3773900000001</v>
      </c>
      <c r="H417" s="38">
        <v>5.05063480848695E-2</v>
      </c>
      <c r="I417" s="39">
        <v>3.1608000000000001</v>
      </c>
      <c r="J417" s="39">
        <v>6.1443000000000003</v>
      </c>
      <c r="K417" s="13">
        <v>0</v>
      </c>
      <c r="L417" s="13">
        <v>0</v>
      </c>
      <c r="M417" s="13">
        <v>1</v>
      </c>
      <c r="N417" s="13">
        <v>0</v>
      </c>
      <c r="O417" s="13">
        <v>0</v>
      </c>
      <c r="P417" s="13">
        <v>0</v>
      </c>
      <c r="Q417" s="13">
        <v>1</v>
      </c>
      <c r="R417" s="13">
        <v>0</v>
      </c>
      <c r="S417" s="13">
        <v>0</v>
      </c>
    </row>
    <row r="418" spans="1:19" ht="15" customHeight="1" x14ac:dyDescent="0.35">
      <c r="A418" s="40" t="s">
        <v>130</v>
      </c>
      <c r="B418" s="41">
        <v>2020</v>
      </c>
      <c r="C418" s="42">
        <v>22.28</v>
      </c>
      <c r="D418" s="41" t="s">
        <v>72</v>
      </c>
      <c r="E418" s="43">
        <v>422.74</v>
      </c>
      <c r="F418" s="41" t="s">
        <v>22</v>
      </c>
      <c r="G418" s="43">
        <v>2825.5941600000001</v>
      </c>
      <c r="H418" s="44">
        <v>5.2579411903525802E-2</v>
      </c>
      <c r="I418" s="45">
        <v>3.1036999999999999</v>
      </c>
      <c r="J418" s="45">
        <v>6.0468000000000002</v>
      </c>
      <c r="K418" s="13">
        <v>0</v>
      </c>
      <c r="L418" s="13">
        <v>0</v>
      </c>
      <c r="M418" s="13">
        <v>1</v>
      </c>
      <c r="N418" s="13">
        <v>0</v>
      </c>
      <c r="O418" s="13">
        <v>0</v>
      </c>
      <c r="P418" s="13">
        <v>0</v>
      </c>
      <c r="Q418" s="13">
        <v>1</v>
      </c>
      <c r="R418" s="13">
        <v>0</v>
      </c>
      <c r="S418" s="13">
        <v>0</v>
      </c>
    </row>
    <row r="419" spans="1:19" ht="15" customHeight="1" x14ac:dyDescent="0.35">
      <c r="A419" s="34" t="s">
        <v>130</v>
      </c>
      <c r="B419" s="35">
        <v>2021</v>
      </c>
      <c r="C419" s="36">
        <v>24.8</v>
      </c>
      <c r="D419" s="35" t="s">
        <v>72</v>
      </c>
      <c r="E419" s="37">
        <v>443.43</v>
      </c>
      <c r="F419" s="35" t="s">
        <v>22</v>
      </c>
      <c r="G419" s="37">
        <v>3299.1192000000001</v>
      </c>
      <c r="H419" s="38">
        <v>5.5801813558940698E-2</v>
      </c>
      <c r="I419" s="39">
        <v>3.2107999999999999</v>
      </c>
      <c r="J419" s="39">
        <v>6.0945</v>
      </c>
      <c r="K419" s="13">
        <v>0</v>
      </c>
      <c r="L419" s="13">
        <v>0</v>
      </c>
      <c r="M419" s="13">
        <v>1</v>
      </c>
      <c r="N419" s="13">
        <v>0</v>
      </c>
      <c r="O419" s="13">
        <v>0</v>
      </c>
      <c r="P419" s="13">
        <v>0</v>
      </c>
      <c r="Q419" s="13">
        <v>1</v>
      </c>
      <c r="R419" s="13">
        <v>0</v>
      </c>
      <c r="S419" s="13">
        <v>0</v>
      </c>
    </row>
    <row r="420" spans="1:19" ht="15" customHeight="1" x14ac:dyDescent="0.35">
      <c r="A420" s="40" t="s">
        <v>130</v>
      </c>
      <c r="B420" s="41">
        <v>2022</v>
      </c>
      <c r="C420" s="42">
        <v>23.65</v>
      </c>
      <c r="D420" s="41" t="s">
        <v>72</v>
      </c>
      <c r="E420" s="43">
        <v>427.17</v>
      </c>
      <c r="F420" s="41" t="s">
        <v>22</v>
      </c>
      <c r="G420" s="43">
        <v>3030.77115</v>
      </c>
      <c r="H420" s="44">
        <v>5.52350701824042E-2</v>
      </c>
      <c r="I420" s="45">
        <v>3.1634000000000002</v>
      </c>
      <c r="J420" s="45">
        <v>6.0571999999999999</v>
      </c>
      <c r="K420" s="13">
        <v>0</v>
      </c>
      <c r="L420" s="13">
        <v>0</v>
      </c>
      <c r="M420" s="13">
        <v>1</v>
      </c>
      <c r="N420" s="13">
        <v>0</v>
      </c>
      <c r="O420" s="13">
        <v>0</v>
      </c>
      <c r="P420" s="13">
        <v>0</v>
      </c>
      <c r="Q420" s="13">
        <v>1</v>
      </c>
      <c r="R420" s="13">
        <v>0</v>
      </c>
      <c r="S420" s="13">
        <v>0</v>
      </c>
    </row>
    <row r="421" spans="1:19" ht="15" customHeight="1" x14ac:dyDescent="0.35">
      <c r="A421" s="34" t="s">
        <v>130</v>
      </c>
      <c r="B421" s="35">
        <v>2022</v>
      </c>
      <c r="C421" s="36">
        <v>98.99</v>
      </c>
      <c r="D421" s="35" t="s">
        <v>71</v>
      </c>
      <c r="E421" s="37">
        <v>427.17</v>
      </c>
      <c r="F421" s="35" t="s">
        <v>22</v>
      </c>
      <c r="G421" s="37">
        <v>12685.66749</v>
      </c>
      <c r="H421" s="38">
        <v>0.231193217647196</v>
      </c>
      <c r="I421" s="39">
        <v>4.5949999999999998</v>
      </c>
      <c r="J421" s="39">
        <v>6.0571999999999999</v>
      </c>
      <c r="K421" s="13">
        <v>0</v>
      </c>
      <c r="L421" s="13">
        <v>0</v>
      </c>
      <c r="M421" s="13">
        <v>1</v>
      </c>
      <c r="N421" s="13">
        <v>0</v>
      </c>
      <c r="O421" s="13">
        <v>0</v>
      </c>
      <c r="P421" s="13">
        <v>0</v>
      </c>
      <c r="Q421" s="13">
        <v>0</v>
      </c>
      <c r="R421" s="13">
        <v>1</v>
      </c>
      <c r="S421" s="13">
        <v>0</v>
      </c>
    </row>
    <row r="422" spans="1:19" ht="15" customHeight="1" x14ac:dyDescent="0.35">
      <c r="A422" s="40" t="s">
        <v>130</v>
      </c>
      <c r="B422" s="41">
        <v>2023</v>
      </c>
      <c r="C422" s="42">
        <v>22.28</v>
      </c>
      <c r="D422" s="41" t="s">
        <v>72</v>
      </c>
      <c r="E422" s="43">
        <v>407.91</v>
      </c>
      <c r="F422" s="41" t="s">
        <v>22</v>
      </c>
      <c r="G422" s="43">
        <v>2726.4704400000001</v>
      </c>
      <c r="H422" s="44">
        <v>5.4486317282531602E-2</v>
      </c>
      <c r="I422" s="45">
        <v>3.1036999999999999</v>
      </c>
      <c r="J422" s="45">
        <v>6.0110000000000001</v>
      </c>
      <c r="K422" s="13">
        <v>0</v>
      </c>
      <c r="L422" s="13">
        <v>0</v>
      </c>
      <c r="M422" s="13">
        <v>1</v>
      </c>
      <c r="N422" s="13">
        <v>0</v>
      </c>
      <c r="O422" s="13">
        <v>0</v>
      </c>
      <c r="P422" s="13">
        <v>0</v>
      </c>
      <c r="Q422" s="13">
        <v>1</v>
      </c>
      <c r="R422" s="13">
        <v>0</v>
      </c>
      <c r="S422" s="13">
        <v>0</v>
      </c>
    </row>
    <row r="423" spans="1:19" ht="15" customHeight="1" x14ac:dyDescent="0.35">
      <c r="A423" s="34" t="s">
        <v>130</v>
      </c>
      <c r="B423" s="35">
        <v>2023</v>
      </c>
      <c r="C423" s="36">
        <v>88.13</v>
      </c>
      <c r="D423" s="35" t="s">
        <v>71</v>
      </c>
      <c r="E423" s="37">
        <v>407.91</v>
      </c>
      <c r="F423" s="35" t="s">
        <v>22</v>
      </c>
      <c r="G423" s="37">
        <v>10784.73249</v>
      </c>
      <c r="H423" s="38">
        <v>0.21552419847888299</v>
      </c>
      <c r="I423" s="39">
        <v>4.4787999999999997</v>
      </c>
      <c r="J423" s="39">
        <v>6.0110000000000001</v>
      </c>
      <c r="K423" s="13">
        <v>0</v>
      </c>
      <c r="L423" s="13">
        <v>0</v>
      </c>
      <c r="M423" s="13">
        <v>1</v>
      </c>
      <c r="N423" s="13">
        <v>0</v>
      </c>
      <c r="O423" s="13">
        <v>0</v>
      </c>
      <c r="P423" s="13">
        <v>0</v>
      </c>
      <c r="Q423" s="13">
        <v>0</v>
      </c>
      <c r="R423" s="13">
        <v>1</v>
      </c>
      <c r="S423" s="13">
        <v>0</v>
      </c>
    </row>
    <row r="424" spans="1:19" ht="15" customHeight="1" x14ac:dyDescent="0.35">
      <c r="A424" s="40" t="s">
        <v>131</v>
      </c>
      <c r="B424" s="41">
        <v>2022</v>
      </c>
      <c r="C424" s="42">
        <v>137.30000000000001</v>
      </c>
      <c r="D424" s="41" t="s">
        <v>72</v>
      </c>
      <c r="E424" s="43">
        <v>35.24</v>
      </c>
      <c r="F424" s="41" t="s">
        <v>24</v>
      </c>
      <c r="G424" s="43">
        <v>1451.5355999999999</v>
      </c>
      <c r="H424" s="44">
        <v>3.7886313465783701</v>
      </c>
      <c r="I424" s="45">
        <v>4.9222000000000001</v>
      </c>
      <c r="J424" s="45">
        <v>3.5621999999999998</v>
      </c>
      <c r="K424" s="13">
        <v>0</v>
      </c>
      <c r="L424" s="13">
        <v>0</v>
      </c>
      <c r="M424" s="13">
        <v>0</v>
      </c>
      <c r="N424" s="13">
        <v>1</v>
      </c>
      <c r="O424" s="13">
        <v>0</v>
      </c>
      <c r="P424" s="13">
        <v>0</v>
      </c>
      <c r="Q424" s="13">
        <v>1</v>
      </c>
      <c r="R424" s="13">
        <v>0</v>
      </c>
      <c r="S424" s="13">
        <v>1</v>
      </c>
    </row>
    <row r="425" spans="1:19" ht="15" customHeight="1" x14ac:dyDescent="0.35">
      <c r="A425" s="34" t="s">
        <v>131</v>
      </c>
      <c r="B425" s="35">
        <v>2023</v>
      </c>
      <c r="C425" s="36">
        <v>155.87</v>
      </c>
      <c r="D425" s="35" t="s">
        <v>72</v>
      </c>
      <c r="E425" s="37">
        <v>35.49</v>
      </c>
      <c r="F425" s="35" t="s">
        <v>24</v>
      </c>
      <c r="G425" s="37">
        <v>1659.5478900000001</v>
      </c>
      <c r="H425" s="38">
        <v>4.2715812551383898</v>
      </c>
      <c r="I425" s="39">
        <v>5.0490000000000004</v>
      </c>
      <c r="J425" s="39">
        <v>3.5693000000000001</v>
      </c>
      <c r="K425" s="13">
        <v>0</v>
      </c>
      <c r="L425" s="13">
        <v>0</v>
      </c>
      <c r="M425" s="13">
        <v>0</v>
      </c>
      <c r="N425" s="13">
        <v>1</v>
      </c>
      <c r="O425" s="13">
        <v>0</v>
      </c>
      <c r="P425" s="13">
        <v>0</v>
      </c>
      <c r="Q425" s="13">
        <v>1</v>
      </c>
      <c r="R425" s="13">
        <v>0</v>
      </c>
      <c r="S425" s="13">
        <v>0</v>
      </c>
    </row>
    <row r="426" spans="1:19" ht="15" customHeight="1" x14ac:dyDescent="0.35">
      <c r="A426" s="40" t="s">
        <v>132</v>
      </c>
      <c r="B426" s="41">
        <v>2023</v>
      </c>
      <c r="C426" s="42">
        <v>22.2</v>
      </c>
      <c r="D426" s="41" t="s">
        <v>71</v>
      </c>
      <c r="E426" s="43">
        <v>5434.18</v>
      </c>
      <c r="F426" s="41" t="s">
        <v>26</v>
      </c>
      <c r="G426" s="43">
        <v>36191.638800000001</v>
      </c>
      <c r="H426" s="44">
        <v>4.0845013412619301E-3</v>
      </c>
      <c r="I426" s="45">
        <v>3.1000999999999999</v>
      </c>
      <c r="J426" s="45">
        <v>8.6005000000000003</v>
      </c>
      <c r="K426" s="13">
        <v>0</v>
      </c>
      <c r="L426" s="13">
        <v>0</v>
      </c>
      <c r="M426" s="13">
        <v>0</v>
      </c>
      <c r="N426" s="13">
        <v>0</v>
      </c>
      <c r="O426" s="13">
        <v>1</v>
      </c>
      <c r="P426" s="13">
        <v>0</v>
      </c>
      <c r="Q426" s="13">
        <v>0</v>
      </c>
      <c r="R426" s="13">
        <v>1</v>
      </c>
      <c r="S426" s="13">
        <v>1</v>
      </c>
    </row>
    <row r="427" spans="1:19" ht="15" customHeight="1" x14ac:dyDescent="0.35">
      <c r="A427" s="34" t="s">
        <v>133</v>
      </c>
      <c r="B427" s="35">
        <v>2023</v>
      </c>
      <c r="C427" s="36">
        <v>15.53</v>
      </c>
      <c r="D427" s="35" t="s">
        <v>72</v>
      </c>
      <c r="E427" s="37">
        <v>731.02</v>
      </c>
      <c r="F427" s="35" t="s">
        <v>24</v>
      </c>
      <c r="G427" s="37">
        <v>3405.8221800000001</v>
      </c>
      <c r="H427" s="38">
        <v>2.1215267342422298E-2</v>
      </c>
      <c r="I427" s="39">
        <v>2.7427999999999999</v>
      </c>
      <c r="J427" s="39">
        <v>6.5944000000000003</v>
      </c>
      <c r="K427" s="13">
        <v>0</v>
      </c>
      <c r="L427" s="13">
        <v>0</v>
      </c>
      <c r="M427" s="13">
        <v>0</v>
      </c>
      <c r="N427" s="13">
        <v>1</v>
      </c>
      <c r="O427" s="13">
        <v>0</v>
      </c>
      <c r="P427" s="13">
        <v>0</v>
      </c>
      <c r="Q427" s="13">
        <v>1</v>
      </c>
      <c r="R427" s="13">
        <v>0</v>
      </c>
      <c r="S427" s="13">
        <v>1</v>
      </c>
    </row>
    <row r="428" spans="1:19" ht="15" customHeight="1" x14ac:dyDescent="0.35">
      <c r="A428" s="40" t="s">
        <v>134</v>
      </c>
      <c r="B428" s="41">
        <v>2017</v>
      </c>
      <c r="C428" s="42">
        <v>12.6</v>
      </c>
      <c r="D428" s="41" t="s">
        <v>72</v>
      </c>
      <c r="E428" s="43">
        <v>720.16</v>
      </c>
      <c r="F428" s="41" t="s">
        <v>24</v>
      </c>
      <c r="G428" s="43">
        <v>2722.2048</v>
      </c>
      <c r="H428" s="44">
        <v>1.74718509068723E-2</v>
      </c>
      <c r="I428" s="45">
        <v>2.5337000000000001</v>
      </c>
      <c r="J428" s="45">
        <v>6.5795000000000003</v>
      </c>
      <c r="K428" s="13">
        <v>0</v>
      </c>
      <c r="L428" s="13">
        <v>0</v>
      </c>
      <c r="M428" s="13">
        <v>0</v>
      </c>
      <c r="N428" s="13">
        <v>1</v>
      </c>
      <c r="O428" s="13">
        <v>0</v>
      </c>
      <c r="P428" s="13">
        <v>0</v>
      </c>
      <c r="Q428" s="13">
        <v>1</v>
      </c>
      <c r="R428" s="13">
        <v>0</v>
      </c>
      <c r="S428" s="13">
        <v>1</v>
      </c>
    </row>
    <row r="429" spans="1:19" ht="15" customHeight="1" x14ac:dyDescent="0.35">
      <c r="A429" s="34" t="s">
        <v>134</v>
      </c>
      <c r="B429" s="35">
        <v>2018</v>
      </c>
      <c r="C429" s="36">
        <v>13.68</v>
      </c>
      <c r="D429" s="35" t="s">
        <v>72</v>
      </c>
      <c r="E429" s="37">
        <v>703.37</v>
      </c>
      <c r="F429" s="35" t="s">
        <v>24</v>
      </c>
      <c r="G429" s="37">
        <v>2886.6304799999998</v>
      </c>
      <c r="H429" s="38">
        <v>1.9421610801141399E-2</v>
      </c>
      <c r="I429" s="39">
        <v>2.6158999999999999</v>
      </c>
      <c r="J429" s="39">
        <v>6.5559000000000003</v>
      </c>
      <c r="K429" s="13">
        <v>0</v>
      </c>
      <c r="L429" s="13">
        <v>0</v>
      </c>
      <c r="M429" s="13">
        <v>0</v>
      </c>
      <c r="N429" s="13">
        <v>1</v>
      </c>
      <c r="O429" s="13">
        <v>0</v>
      </c>
      <c r="P429" s="13">
        <v>0</v>
      </c>
      <c r="Q429" s="13">
        <v>1</v>
      </c>
      <c r="R429" s="13">
        <v>0</v>
      </c>
      <c r="S429" s="13">
        <v>0</v>
      </c>
    </row>
    <row r="430" spans="1:19" ht="15" customHeight="1" x14ac:dyDescent="0.35">
      <c r="A430" s="40" t="s">
        <v>134</v>
      </c>
      <c r="B430" s="41">
        <v>2019</v>
      </c>
      <c r="C430" s="42">
        <v>13.01</v>
      </c>
      <c r="D430" s="41" t="s">
        <v>72</v>
      </c>
      <c r="E430" s="43">
        <v>717.6</v>
      </c>
      <c r="F430" s="41" t="s">
        <v>24</v>
      </c>
      <c r="G430" s="43">
        <v>2800.7928000000002</v>
      </c>
      <c r="H430" s="44">
        <v>1.81046479265238E-2</v>
      </c>
      <c r="I430" s="45">
        <v>2.5657000000000001</v>
      </c>
      <c r="J430" s="45">
        <v>6.5758999999999999</v>
      </c>
      <c r="K430" s="13">
        <v>0</v>
      </c>
      <c r="L430" s="13">
        <v>0</v>
      </c>
      <c r="M430" s="13">
        <v>0</v>
      </c>
      <c r="N430" s="13">
        <v>1</v>
      </c>
      <c r="O430" s="13">
        <v>0</v>
      </c>
      <c r="P430" s="13">
        <v>0</v>
      </c>
      <c r="Q430" s="13">
        <v>1</v>
      </c>
      <c r="R430" s="13">
        <v>0</v>
      </c>
      <c r="S430" s="13">
        <v>0</v>
      </c>
    </row>
    <row r="431" spans="1:19" ht="15" customHeight="1" x14ac:dyDescent="0.35">
      <c r="A431" s="34" t="s">
        <v>134</v>
      </c>
      <c r="B431" s="35">
        <v>2020</v>
      </c>
      <c r="C431" s="36">
        <v>11.8</v>
      </c>
      <c r="D431" s="35" t="s">
        <v>72</v>
      </c>
      <c r="E431" s="37">
        <v>664.85</v>
      </c>
      <c r="F431" s="35" t="s">
        <v>24</v>
      </c>
      <c r="G431" s="37">
        <v>2353.569</v>
      </c>
      <c r="H431" s="38">
        <v>1.7721709093639699E-2</v>
      </c>
      <c r="I431" s="39">
        <v>2.4681000000000002</v>
      </c>
      <c r="J431" s="39">
        <v>6.4996</v>
      </c>
      <c r="K431" s="13">
        <v>0</v>
      </c>
      <c r="L431" s="13">
        <v>0</v>
      </c>
      <c r="M431" s="13">
        <v>0</v>
      </c>
      <c r="N431" s="13">
        <v>1</v>
      </c>
      <c r="O431" s="13">
        <v>0</v>
      </c>
      <c r="P431" s="13">
        <v>0</v>
      </c>
      <c r="Q431" s="13">
        <v>1</v>
      </c>
      <c r="R431" s="13">
        <v>0</v>
      </c>
      <c r="S431" s="13">
        <v>0</v>
      </c>
    </row>
    <row r="432" spans="1:19" ht="15" customHeight="1" x14ac:dyDescent="0.35">
      <c r="A432" s="40" t="s">
        <v>134</v>
      </c>
      <c r="B432" s="41">
        <v>2021</v>
      </c>
      <c r="C432" s="42">
        <v>12.23</v>
      </c>
      <c r="D432" s="41" t="s">
        <v>72</v>
      </c>
      <c r="E432" s="43">
        <v>676.79</v>
      </c>
      <c r="F432" s="41" t="s">
        <v>24</v>
      </c>
      <c r="G432" s="43">
        <v>2483.1425100000001</v>
      </c>
      <c r="H432" s="44">
        <v>1.80439369126131E-2</v>
      </c>
      <c r="I432" s="45">
        <v>2.5038999999999998</v>
      </c>
      <c r="J432" s="45">
        <v>6.5174000000000003</v>
      </c>
      <c r="K432" s="13">
        <v>0</v>
      </c>
      <c r="L432" s="13">
        <v>0</v>
      </c>
      <c r="M432" s="13">
        <v>0</v>
      </c>
      <c r="N432" s="13">
        <v>1</v>
      </c>
      <c r="O432" s="13">
        <v>0</v>
      </c>
      <c r="P432" s="13">
        <v>0</v>
      </c>
      <c r="Q432" s="13">
        <v>1</v>
      </c>
      <c r="R432" s="13">
        <v>0</v>
      </c>
      <c r="S432" s="13">
        <v>0</v>
      </c>
    </row>
    <row r="433" spans="1:19" ht="15" customHeight="1" x14ac:dyDescent="0.35">
      <c r="A433" s="34" t="s">
        <v>134</v>
      </c>
      <c r="B433" s="35">
        <v>2022</v>
      </c>
      <c r="C433" s="36">
        <v>12.6</v>
      </c>
      <c r="D433" s="35" t="s">
        <v>72</v>
      </c>
      <c r="E433" s="37">
        <v>708.03</v>
      </c>
      <c r="F433" s="35" t="s">
        <v>24</v>
      </c>
      <c r="G433" s="37">
        <v>2676.3534</v>
      </c>
      <c r="H433" s="38">
        <v>1.7770757231710899E-2</v>
      </c>
      <c r="I433" s="39">
        <v>2.5337000000000001</v>
      </c>
      <c r="J433" s="39">
        <v>6.5625</v>
      </c>
      <c r="K433" s="13">
        <v>0</v>
      </c>
      <c r="L433" s="13">
        <v>0</v>
      </c>
      <c r="M433" s="13">
        <v>0</v>
      </c>
      <c r="N433" s="13">
        <v>1</v>
      </c>
      <c r="O433" s="13">
        <v>0</v>
      </c>
      <c r="P433" s="13">
        <v>0</v>
      </c>
      <c r="Q433" s="13">
        <v>1</v>
      </c>
      <c r="R433" s="13">
        <v>0</v>
      </c>
      <c r="S433" s="13">
        <v>0</v>
      </c>
    </row>
    <row r="434" spans="1:19" ht="15" customHeight="1" x14ac:dyDescent="0.35">
      <c r="A434" s="40" t="s">
        <v>134</v>
      </c>
      <c r="B434" s="41">
        <v>2023</v>
      </c>
      <c r="C434" s="42">
        <v>13.86</v>
      </c>
      <c r="D434" s="41" t="s">
        <v>72</v>
      </c>
      <c r="E434" s="43">
        <v>731.02</v>
      </c>
      <c r="F434" s="41" t="s">
        <v>24</v>
      </c>
      <c r="G434" s="43">
        <v>3039.5811600000002</v>
      </c>
      <c r="H434" s="44">
        <v>1.8933908909592598E-2</v>
      </c>
      <c r="I434" s="45">
        <v>2.629</v>
      </c>
      <c r="J434" s="45">
        <v>6.5944000000000003</v>
      </c>
      <c r="K434" s="13">
        <v>0</v>
      </c>
      <c r="L434" s="13">
        <v>0</v>
      </c>
      <c r="M434" s="13">
        <v>0</v>
      </c>
      <c r="N434" s="13">
        <v>1</v>
      </c>
      <c r="O434" s="13">
        <v>0</v>
      </c>
      <c r="P434" s="13">
        <v>0</v>
      </c>
      <c r="Q434" s="13">
        <v>1</v>
      </c>
      <c r="R434" s="13">
        <v>0</v>
      </c>
      <c r="S434" s="13">
        <v>0</v>
      </c>
    </row>
  </sheetData>
  <autoFilter ref="A1:J435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527A0"/>
  </sheetPr>
  <dimension ref="A1:J29"/>
  <sheetViews>
    <sheetView showGridLines="0" zoomScaleNormal="100" workbookViewId="0">
      <selection activeCell="K2" sqref="K2"/>
    </sheetView>
  </sheetViews>
  <sheetFormatPr defaultColWidth="8.6328125" defaultRowHeight="14.5" x14ac:dyDescent="0.35"/>
  <cols>
    <col min="1" max="1" width="28" style="13" customWidth="1"/>
    <col min="2" max="10" width="10" style="13" customWidth="1"/>
  </cols>
  <sheetData>
    <row r="1" spans="1:10" ht="27.75" customHeight="1" x14ac:dyDescent="0.35">
      <c r="A1" s="5" t="s">
        <v>135</v>
      </c>
      <c r="B1" s="5"/>
      <c r="C1" s="5"/>
      <c r="D1" s="5"/>
      <c r="E1" s="5"/>
      <c r="F1" s="5"/>
      <c r="G1" s="5"/>
      <c r="H1" s="5"/>
      <c r="I1" s="5"/>
      <c r="J1" s="5"/>
    </row>
    <row r="2" spans="1:10" ht="15" customHeight="1" x14ac:dyDescent="0.35">
      <c r="A2" s="46" t="s">
        <v>33</v>
      </c>
      <c r="B2" s="46">
        <v>2015</v>
      </c>
      <c r="C2" s="46">
        <v>2016</v>
      </c>
      <c r="D2" s="46">
        <v>2017</v>
      </c>
      <c r="E2" s="46">
        <v>2018</v>
      </c>
      <c r="F2" s="46">
        <v>2019</v>
      </c>
      <c r="G2" s="46">
        <v>2020</v>
      </c>
      <c r="H2" s="46">
        <v>2021</v>
      </c>
      <c r="I2" s="46">
        <v>2022</v>
      </c>
      <c r="J2" s="46">
        <v>2023</v>
      </c>
    </row>
    <row r="3" spans="1:10" ht="15.75" customHeight="1" x14ac:dyDescent="0.35">
      <c r="A3" s="47" t="s">
        <v>131</v>
      </c>
      <c r="B3" s="48"/>
      <c r="C3" s="48"/>
      <c r="D3" s="48"/>
      <c r="E3" s="48"/>
      <c r="F3" s="48"/>
      <c r="G3" s="48"/>
      <c r="H3" s="48"/>
      <c r="I3" s="49">
        <v>137.30000000000001</v>
      </c>
      <c r="J3" s="49">
        <v>155.87</v>
      </c>
    </row>
    <row r="4" spans="1:10" ht="15.75" customHeight="1" x14ac:dyDescent="0.35">
      <c r="A4" s="50" t="s">
        <v>125</v>
      </c>
      <c r="B4" s="51">
        <v>37.17</v>
      </c>
      <c r="C4" s="51">
        <v>47.704999999999998</v>
      </c>
      <c r="D4" s="51">
        <v>45.435000000000002</v>
      </c>
      <c r="E4" s="52">
        <v>55.1</v>
      </c>
      <c r="F4" s="52">
        <v>52.244999999999997</v>
      </c>
      <c r="G4" s="52">
        <v>59.645000000000003</v>
      </c>
      <c r="H4" s="52">
        <v>73.784999999999997</v>
      </c>
      <c r="I4" s="53">
        <v>97.724999999999994</v>
      </c>
      <c r="J4" s="49">
        <v>112.31</v>
      </c>
    </row>
    <row r="5" spans="1:10" ht="15.75" customHeight="1" x14ac:dyDescent="0.35">
      <c r="A5" s="47" t="s">
        <v>130</v>
      </c>
      <c r="B5" s="51">
        <v>26.71</v>
      </c>
      <c r="C5" s="54">
        <v>23.72</v>
      </c>
      <c r="D5" s="54">
        <v>22.41</v>
      </c>
      <c r="E5" s="51">
        <v>25.46</v>
      </c>
      <c r="F5" s="54">
        <v>23.59</v>
      </c>
      <c r="G5" s="54">
        <v>22.28</v>
      </c>
      <c r="H5" s="54">
        <v>24.8</v>
      </c>
      <c r="I5" s="52">
        <v>61.32</v>
      </c>
      <c r="J5" s="52">
        <v>55.204999999999998</v>
      </c>
    </row>
    <row r="6" spans="1:10" ht="15.75" customHeight="1" x14ac:dyDescent="0.35">
      <c r="A6" s="50" t="s">
        <v>85</v>
      </c>
      <c r="B6" s="55">
        <v>7.68</v>
      </c>
      <c r="C6" s="55">
        <v>4.87</v>
      </c>
      <c r="D6" s="55">
        <v>5.64</v>
      </c>
      <c r="E6" s="54">
        <v>16.37</v>
      </c>
      <c r="F6" s="54">
        <v>24.51</v>
      </c>
      <c r="G6" s="54">
        <v>18.54</v>
      </c>
      <c r="H6" s="51">
        <v>49.78</v>
      </c>
      <c r="I6" s="53">
        <v>86.53</v>
      </c>
      <c r="J6" s="53">
        <v>96.3</v>
      </c>
    </row>
    <row r="7" spans="1:10" ht="15.75" customHeight="1" x14ac:dyDescent="0.35">
      <c r="A7" s="47" t="s">
        <v>87</v>
      </c>
      <c r="B7" s="51">
        <v>47.42</v>
      </c>
      <c r="C7" s="52">
        <v>64.02</v>
      </c>
      <c r="D7" s="52">
        <v>64.14</v>
      </c>
      <c r="E7" s="53">
        <v>78.11</v>
      </c>
      <c r="F7" s="52">
        <v>73.040000000000006</v>
      </c>
      <c r="G7" s="52">
        <v>71.08</v>
      </c>
      <c r="H7" s="53">
        <v>76.34</v>
      </c>
      <c r="I7" s="52">
        <v>71.84</v>
      </c>
      <c r="J7" s="52">
        <v>70.69</v>
      </c>
    </row>
    <row r="8" spans="1:10" ht="15.75" customHeight="1" x14ac:dyDescent="0.35">
      <c r="A8" s="50" t="s">
        <v>107</v>
      </c>
      <c r="B8" s="52">
        <v>63.24</v>
      </c>
      <c r="C8" s="52">
        <v>62.08</v>
      </c>
      <c r="D8" s="52">
        <v>63.94</v>
      </c>
      <c r="E8" s="52">
        <v>74.45</v>
      </c>
      <c r="F8" s="52">
        <v>67.150000000000006</v>
      </c>
      <c r="G8" s="52">
        <v>58.94</v>
      </c>
      <c r="H8" s="52">
        <v>60.76</v>
      </c>
      <c r="I8" s="52">
        <v>54.27</v>
      </c>
      <c r="J8" s="52">
        <v>50.14</v>
      </c>
    </row>
    <row r="9" spans="1:10" ht="15.75" customHeight="1" x14ac:dyDescent="0.35">
      <c r="A9" s="47" t="s">
        <v>88</v>
      </c>
      <c r="B9" s="54">
        <v>15.59</v>
      </c>
      <c r="C9" s="54">
        <v>24.56</v>
      </c>
      <c r="D9" s="51">
        <v>32.61</v>
      </c>
      <c r="E9" s="52">
        <v>55.3</v>
      </c>
      <c r="F9" s="52">
        <v>50.11</v>
      </c>
      <c r="G9" s="51">
        <v>48.77</v>
      </c>
      <c r="H9" s="52">
        <v>52.39</v>
      </c>
      <c r="I9" s="51">
        <v>49.29</v>
      </c>
      <c r="J9" s="51">
        <v>48.5</v>
      </c>
    </row>
    <row r="10" spans="1:10" ht="15.75" customHeight="1" x14ac:dyDescent="0.35">
      <c r="A10" s="50" t="s">
        <v>94</v>
      </c>
      <c r="B10" s="54">
        <v>21.51</v>
      </c>
      <c r="C10" s="54">
        <v>22.32</v>
      </c>
      <c r="D10" s="54">
        <v>21.38</v>
      </c>
      <c r="E10" s="54">
        <v>24.8</v>
      </c>
      <c r="F10" s="54">
        <v>22.47</v>
      </c>
      <c r="G10" s="51">
        <v>28.43</v>
      </c>
      <c r="H10" s="51">
        <v>39.35</v>
      </c>
      <c r="I10" s="51">
        <v>45.31</v>
      </c>
      <c r="J10" s="52">
        <v>52.74</v>
      </c>
    </row>
    <row r="11" spans="1:10" ht="15.75" customHeight="1" x14ac:dyDescent="0.35">
      <c r="A11" s="47" t="s">
        <v>104</v>
      </c>
      <c r="B11" s="55">
        <v>4.93</v>
      </c>
      <c r="C11" s="54">
        <v>13.03</v>
      </c>
      <c r="D11" s="54">
        <v>12.51</v>
      </c>
      <c r="E11" s="54">
        <v>15.22</v>
      </c>
      <c r="F11" s="54">
        <v>17.53</v>
      </c>
      <c r="G11" s="54">
        <v>14.3</v>
      </c>
      <c r="H11" s="51">
        <v>25.76</v>
      </c>
      <c r="I11" s="52">
        <v>52.62</v>
      </c>
      <c r="J11" s="51">
        <v>34.200000000000003</v>
      </c>
    </row>
    <row r="12" spans="1:10" ht="15.75" customHeight="1" x14ac:dyDescent="0.35">
      <c r="A12" s="50" t="s">
        <v>70</v>
      </c>
      <c r="B12" s="54">
        <v>11.89</v>
      </c>
      <c r="C12" s="54">
        <v>15.37</v>
      </c>
      <c r="D12" s="54">
        <v>18.785</v>
      </c>
      <c r="E12" s="54">
        <v>23.25</v>
      </c>
      <c r="F12" s="54">
        <v>22.49</v>
      </c>
      <c r="G12" s="54">
        <v>21.1</v>
      </c>
      <c r="H12" s="51">
        <v>31.83</v>
      </c>
      <c r="I12" s="51">
        <v>39.96</v>
      </c>
      <c r="J12" s="51">
        <v>48.03</v>
      </c>
    </row>
    <row r="13" spans="1:10" ht="15.75" customHeight="1" x14ac:dyDescent="0.35">
      <c r="A13" s="47" t="s">
        <v>77</v>
      </c>
      <c r="B13" s="54">
        <v>23.78</v>
      </c>
      <c r="C13" s="54">
        <v>23.06</v>
      </c>
      <c r="D13" s="54">
        <v>22.54</v>
      </c>
      <c r="E13" s="51">
        <v>27.13</v>
      </c>
      <c r="F13" s="51">
        <v>29.99</v>
      </c>
      <c r="G13" s="51">
        <v>28.14</v>
      </c>
      <c r="H13" s="51">
        <v>27.855</v>
      </c>
      <c r="I13" s="51">
        <v>29.97</v>
      </c>
      <c r="J13" s="51">
        <v>33.25</v>
      </c>
    </row>
    <row r="14" spans="1:10" ht="15.75" customHeight="1" x14ac:dyDescent="0.35">
      <c r="A14" s="50" t="s">
        <v>79</v>
      </c>
      <c r="B14" s="48"/>
      <c r="C14" s="48"/>
      <c r="D14" s="48"/>
      <c r="E14" s="48"/>
      <c r="F14" s="54">
        <v>15</v>
      </c>
      <c r="G14" s="54">
        <v>21.1</v>
      </c>
      <c r="H14" s="51">
        <v>31.83</v>
      </c>
      <c r="I14" s="51">
        <v>39.96</v>
      </c>
      <c r="J14" s="51">
        <v>48.03</v>
      </c>
    </row>
    <row r="15" spans="1:10" ht="15.75" customHeight="1" x14ac:dyDescent="0.35">
      <c r="A15" s="47" t="s">
        <v>103</v>
      </c>
      <c r="B15" s="48"/>
      <c r="C15" s="48"/>
      <c r="D15" s="48"/>
      <c r="E15" s="48"/>
      <c r="F15" s="48"/>
      <c r="G15" s="54">
        <v>21.1</v>
      </c>
      <c r="H15" s="51">
        <v>31.83</v>
      </c>
      <c r="I15" s="51">
        <v>39.96</v>
      </c>
      <c r="J15" s="51">
        <v>48.03</v>
      </c>
    </row>
    <row r="16" spans="1:10" ht="15.75" customHeight="1" x14ac:dyDescent="0.35">
      <c r="A16" s="50" t="s">
        <v>105</v>
      </c>
      <c r="B16" s="48"/>
      <c r="C16" s="48"/>
      <c r="D16" s="48"/>
      <c r="E16" s="48"/>
      <c r="F16" s="54">
        <v>15</v>
      </c>
      <c r="G16" s="54">
        <v>14.07</v>
      </c>
      <c r="H16" s="54">
        <v>23.88</v>
      </c>
      <c r="I16" s="51">
        <v>39.96</v>
      </c>
      <c r="J16" s="51">
        <v>48.03</v>
      </c>
    </row>
    <row r="17" spans="1:10" ht="15.75" customHeight="1" x14ac:dyDescent="0.35">
      <c r="A17" s="47" t="s">
        <v>106</v>
      </c>
      <c r="B17" s="48"/>
      <c r="C17" s="48"/>
      <c r="D17" s="48"/>
      <c r="E17" s="48"/>
      <c r="F17" s="48"/>
      <c r="G17" s="54">
        <v>14.07</v>
      </c>
      <c r="H17" s="54">
        <v>23.88</v>
      </c>
      <c r="I17" s="51">
        <v>31.97</v>
      </c>
      <c r="J17" s="51">
        <v>48.03</v>
      </c>
    </row>
    <row r="18" spans="1:10" ht="15.75" customHeight="1" x14ac:dyDescent="0.35">
      <c r="A18" s="50" t="s">
        <v>109</v>
      </c>
      <c r="B18" s="48"/>
      <c r="C18" s="48"/>
      <c r="D18" s="54">
        <v>14.06</v>
      </c>
      <c r="E18" s="54">
        <v>11.7</v>
      </c>
      <c r="F18" s="48"/>
      <c r="G18" s="48"/>
      <c r="H18" s="48"/>
      <c r="I18" s="51">
        <v>31.97</v>
      </c>
      <c r="J18" s="51">
        <v>48.03</v>
      </c>
    </row>
    <row r="19" spans="1:10" ht="15.75" customHeight="1" x14ac:dyDescent="0.35">
      <c r="A19" s="47" t="s">
        <v>117</v>
      </c>
      <c r="B19" s="48"/>
      <c r="C19" s="48"/>
      <c r="D19" s="48"/>
      <c r="E19" s="48"/>
      <c r="F19" s="48"/>
      <c r="G19" s="48"/>
      <c r="H19" s="51">
        <v>31.83</v>
      </c>
      <c r="I19" s="51">
        <v>39.96</v>
      </c>
      <c r="J19" s="51">
        <v>48.03</v>
      </c>
    </row>
    <row r="20" spans="1:10" ht="15.75" customHeight="1" x14ac:dyDescent="0.35">
      <c r="A20" s="50" t="s">
        <v>99</v>
      </c>
      <c r="B20" s="48"/>
      <c r="C20" s="48"/>
      <c r="D20" s="48"/>
      <c r="E20" s="48"/>
      <c r="F20" s="48"/>
      <c r="G20" s="48"/>
      <c r="H20" s="51">
        <v>40.119999999999997</v>
      </c>
      <c r="I20" s="51">
        <v>41.76</v>
      </c>
      <c r="J20" s="51">
        <v>46.56</v>
      </c>
    </row>
    <row r="21" spans="1:10" ht="15.75" customHeight="1" x14ac:dyDescent="0.35">
      <c r="A21" s="47" t="s">
        <v>102</v>
      </c>
      <c r="B21" s="48"/>
      <c r="C21" s="48"/>
      <c r="D21" s="48"/>
      <c r="E21" s="48"/>
      <c r="F21" s="48"/>
      <c r="G21" s="48"/>
      <c r="H21" s="51">
        <v>35.24</v>
      </c>
      <c r="I21" s="51">
        <v>46.14</v>
      </c>
      <c r="J21" s="51">
        <v>39.33</v>
      </c>
    </row>
    <row r="22" spans="1:10" ht="15.75" customHeight="1" x14ac:dyDescent="0.35">
      <c r="A22" s="50" t="s">
        <v>128</v>
      </c>
      <c r="B22" s="51">
        <v>37.51</v>
      </c>
      <c r="C22" s="54">
        <v>14.64</v>
      </c>
      <c r="D22" s="54">
        <v>13.39</v>
      </c>
      <c r="E22" s="55">
        <v>5.69</v>
      </c>
      <c r="F22" s="55">
        <v>5.85</v>
      </c>
      <c r="G22" s="55">
        <v>5.58</v>
      </c>
      <c r="H22" s="55">
        <v>4.87</v>
      </c>
      <c r="I22" s="55">
        <v>4.42</v>
      </c>
      <c r="J22" s="51">
        <v>41.95</v>
      </c>
    </row>
    <row r="23" spans="1:10" ht="15.75" customHeight="1" x14ac:dyDescent="0.35">
      <c r="A23" s="47" t="s">
        <v>113</v>
      </c>
      <c r="B23" s="54">
        <v>12.49</v>
      </c>
      <c r="C23" s="54">
        <v>12.8</v>
      </c>
      <c r="D23" s="54">
        <v>15.08</v>
      </c>
      <c r="E23" s="54">
        <v>15.1</v>
      </c>
      <c r="F23" s="54">
        <v>15.77</v>
      </c>
      <c r="G23" s="54">
        <v>21.75</v>
      </c>
      <c r="H23" s="54">
        <v>17.940000000000001</v>
      </c>
      <c r="I23" s="51">
        <v>38.58</v>
      </c>
      <c r="J23" s="51">
        <v>29.84</v>
      </c>
    </row>
    <row r="24" spans="1:10" ht="15.75" customHeight="1" x14ac:dyDescent="0.35">
      <c r="A24" s="50" t="s">
        <v>116</v>
      </c>
      <c r="B24" s="51">
        <v>37.51</v>
      </c>
      <c r="C24" s="54">
        <v>14.64</v>
      </c>
      <c r="D24" s="54">
        <v>13.39</v>
      </c>
      <c r="E24" s="55">
        <v>5.69</v>
      </c>
      <c r="F24" s="55">
        <v>5.85</v>
      </c>
      <c r="G24" s="55">
        <v>5.58</v>
      </c>
      <c r="H24" s="55">
        <v>5.42</v>
      </c>
      <c r="I24" s="55">
        <v>3.84</v>
      </c>
      <c r="J24" s="55">
        <v>1.08</v>
      </c>
    </row>
    <row r="25" spans="1:10" ht="15.75" customHeight="1" x14ac:dyDescent="0.35">
      <c r="A25" s="47" t="s">
        <v>93</v>
      </c>
      <c r="B25" s="54">
        <v>16.600000000000001</v>
      </c>
      <c r="C25" s="54">
        <v>19</v>
      </c>
      <c r="D25" s="54">
        <v>21.64</v>
      </c>
      <c r="E25" s="51">
        <v>37.479999999999997</v>
      </c>
      <c r="F25" s="51">
        <v>36.24</v>
      </c>
      <c r="G25" s="54">
        <v>21.15</v>
      </c>
      <c r="H25" s="54">
        <v>23.7</v>
      </c>
      <c r="I25" s="54">
        <v>24.23</v>
      </c>
      <c r="J25" s="54">
        <v>24.15</v>
      </c>
    </row>
    <row r="26" spans="1:10" ht="15.75" customHeight="1" x14ac:dyDescent="0.35">
      <c r="A26" s="50" t="s">
        <v>111</v>
      </c>
      <c r="B26" s="55">
        <v>4.5</v>
      </c>
      <c r="C26" s="55">
        <v>7.26</v>
      </c>
      <c r="D26" s="55">
        <v>6.97</v>
      </c>
      <c r="E26" s="55">
        <v>6.86</v>
      </c>
      <c r="F26" s="54">
        <v>12.78</v>
      </c>
      <c r="G26" s="51">
        <v>37.270000000000003</v>
      </c>
      <c r="H26" s="51">
        <v>27.99</v>
      </c>
      <c r="I26" s="51">
        <v>26.34</v>
      </c>
      <c r="J26" s="51">
        <v>25.92</v>
      </c>
    </row>
    <row r="29" spans="1:10" ht="15" customHeight="1" x14ac:dyDescent="0.35">
      <c r="A29" s="4" t="s">
        <v>136</v>
      </c>
      <c r="B29" s="4"/>
      <c r="C29" s="4"/>
      <c r="D29" s="4"/>
      <c r="E29" s="4"/>
      <c r="F29" s="4"/>
      <c r="G29" s="4"/>
      <c r="H29" s="4"/>
      <c r="I29" s="4"/>
      <c r="J29" s="4"/>
    </row>
  </sheetData>
  <mergeCells count="2">
    <mergeCell ref="A1:J1"/>
    <mergeCell ref="A29:J29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71C1C"/>
  </sheetPr>
  <dimension ref="A1:J119"/>
  <sheetViews>
    <sheetView showGridLines="0" zoomScaleNormal="100" workbookViewId="0">
      <selection activeCell="L7" sqref="L7"/>
    </sheetView>
  </sheetViews>
  <sheetFormatPr defaultColWidth="8.6328125" defaultRowHeight="14.5" x14ac:dyDescent="0.35"/>
  <cols>
    <col min="1" max="1" width="3" style="13" customWidth="1"/>
    <col min="2" max="2" width="22.1796875" style="13" customWidth="1"/>
    <col min="3" max="3" width="15.453125" style="13" customWidth="1"/>
    <col min="4" max="4" width="13.6328125" style="13" customWidth="1"/>
    <col min="5" max="5" width="17.81640625" style="13" customWidth="1"/>
    <col min="6" max="6" width="27.26953125" style="13" customWidth="1"/>
    <col min="7" max="7" width="14" style="13" customWidth="1"/>
    <col min="8" max="8" width="12.7265625" style="13" customWidth="1"/>
    <col min="9" max="9" width="19.7265625" style="13" customWidth="1"/>
    <col min="10" max="10" width="3" style="13" customWidth="1"/>
  </cols>
  <sheetData>
    <row r="1" spans="2:9" ht="18" customHeight="1" x14ac:dyDescent="0.35">
      <c r="B1" s="3" t="s">
        <v>137</v>
      </c>
      <c r="C1" s="3"/>
      <c r="D1" s="3"/>
      <c r="E1" s="3"/>
      <c r="F1" s="3"/>
      <c r="G1" s="3"/>
      <c r="H1" s="3"/>
      <c r="I1" s="3"/>
    </row>
    <row r="2" spans="2:9" ht="18" customHeight="1" x14ac:dyDescent="0.35"/>
    <row r="3" spans="2:9" ht="18" customHeight="1" x14ac:dyDescent="0.35">
      <c r="B3" s="2" t="s">
        <v>138</v>
      </c>
      <c r="C3" s="2"/>
      <c r="D3" s="2"/>
      <c r="E3" s="2"/>
      <c r="F3" s="2"/>
      <c r="G3" s="2"/>
      <c r="H3" s="2"/>
      <c r="I3" s="2"/>
    </row>
    <row r="4" spans="2:9" ht="18" customHeight="1" x14ac:dyDescent="0.35">
      <c r="B4" s="56" t="s">
        <v>1</v>
      </c>
      <c r="C4" s="56" t="s">
        <v>139</v>
      </c>
      <c r="D4" s="56" t="s">
        <v>140</v>
      </c>
      <c r="E4" s="56" t="s">
        <v>141</v>
      </c>
      <c r="F4" s="56" t="s">
        <v>142</v>
      </c>
      <c r="G4" s="56" t="s">
        <v>143</v>
      </c>
      <c r="H4" s="56" t="s">
        <v>144</v>
      </c>
      <c r="I4" s="56" t="s">
        <v>13</v>
      </c>
    </row>
    <row r="5" spans="2:9" ht="18" customHeight="1" x14ac:dyDescent="0.35">
      <c r="B5" s="57" t="s">
        <v>22</v>
      </c>
      <c r="C5" s="58">
        <f>COUNTIF(Analysis!F2:F1000,"Europe")</f>
        <v>161</v>
      </c>
      <c r="D5" s="59">
        <f>AVERAGEIFS(Analysis!C2:C1000,Analysis!F2:F1000,"Europe")</f>
        <v>31.783850931677019</v>
      </c>
      <c r="E5" s="59">
        <f>MEDIAN(IF(Analysis!F2:F1000="Europe",Analysis!C2:C1000))</f>
        <v>0</v>
      </c>
      <c r="F5" s="59">
        <v>23.72</v>
      </c>
      <c r="G5" s="59">
        <v>0.01</v>
      </c>
      <c r="H5" s="59">
        <v>130.81</v>
      </c>
      <c r="I5" s="59">
        <f>AVERAGEIFS(Analysis!E2:E1000,Analysis!F2:F1000,"Europe")</f>
        <v>319.66093167701854</v>
      </c>
    </row>
    <row r="6" spans="2:9" ht="18" customHeight="1" x14ac:dyDescent="0.35">
      <c r="B6" s="60" t="s">
        <v>26</v>
      </c>
      <c r="C6" s="61">
        <f>COUNTIF(Analysis!F2:F1000,"North America")</f>
        <v>42</v>
      </c>
      <c r="D6" s="62">
        <f>AVERAGEIFS(Analysis!C2:C1000,Analysis!F2:F1000,"North America")</f>
        <v>26.121428571428581</v>
      </c>
      <c r="E6" s="62">
        <f>MEDIAN(IF(Analysis!F2:F1000="North America",Analysis!C2:C1000))</f>
        <v>14.085000000000001</v>
      </c>
      <c r="F6" s="62">
        <v>22.8</v>
      </c>
      <c r="G6" s="62">
        <v>11.89</v>
      </c>
      <c r="H6" s="62">
        <v>48.03</v>
      </c>
      <c r="I6" s="62">
        <f>AVERAGEIFS(Analysis!E2:E1000,Analysis!F2:F1000,"North America")</f>
        <v>1970.1059523809527</v>
      </c>
    </row>
    <row r="7" spans="2:9" ht="18" customHeight="1" x14ac:dyDescent="0.35">
      <c r="B7" s="57" t="s">
        <v>24</v>
      </c>
      <c r="C7" s="58">
        <f>COUNTIF(Analysis!F2:F1000,"Latin America")</f>
        <v>39</v>
      </c>
      <c r="D7" s="59">
        <f>AVERAGEIFS(Analysis!C2:C1000,Analysis!F2:F1000,"Latin America")</f>
        <v>13.472307692307695</v>
      </c>
      <c r="E7" s="59">
        <f>MEDIAN(IF(Analysis!F2:F1000="Latin America",Analysis!C2:C1000))</f>
        <v>0</v>
      </c>
      <c r="F7" s="59">
        <v>5</v>
      </c>
      <c r="G7" s="59">
        <v>0</v>
      </c>
      <c r="H7" s="59">
        <v>155.87</v>
      </c>
      <c r="I7" s="59">
        <f>AVERAGEIFS(Analysis!E2:E1000,Analysis!F2:F1000,"Latin America")</f>
        <v>448.29282051282064</v>
      </c>
    </row>
    <row r="8" spans="2:9" ht="18" customHeight="1" x14ac:dyDescent="0.35">
      <c r="B8" s="60" t="s">
        <v>20</v>
      </c>
      <c r="C8" s="61">
        <f>COUNTIF(Analysis!F2:F1000,"Asia-Pacific")</f>
        <v>100</v>
      </c>
      <c r="D8" s="62">
        <f>AVERAGEIFS(Analysis!C2:C1000,Analysis!F2:F1000,"Asia-Pacific")</f>
        <v>5.8340000000000023</v>
      </c>
      <c r="E8" s="62">
        <f>MEDIAN(IF(Analysis!F2:F1000="Asia-Pacific",Analysis!C2:C1000))</f>
        <v>0</v>
      </c>
      <c r="F8" s="62">
        <v>4.13</v>
      </c>
      <c r="G8" s="62">
        <v>0.22</v>
      </c>
      <c r="H8" s="62">
        <v>52.62</v>
      </c>
      <c r="I8" s="62">
        <f>AVERAGEIFS(Analysis!E2:E1000,Analysis!F2:F1000,"Asia-Pacific")</f>
        <v>8753.4303000000018</v>
      </c>
    </row>
    <row r="9" spans="2:9" ht="18" customHeight="1" x14ac:dyDescent="0.35">
      <c r="B9" s="57" t="s">
        <v>17</v>
      </c>
      <c r="C9" s="58">
        <f>COUNTIF(Analysis!F2:F1000,"Africa")</f>
        <v>4</v>
      </c>
      <c r="D9" s="59">
        <f>AVERAGEIFS(Analysis!C2:C1000,Analysis!F2:F1000,"Africa")</f>
        <v>8.745000000000001</v>
      </c>
      <c r="E9" s="59">
        <f>MEDIAN(IF(Analysis!F2:F1000="Africa",Analysis!C2:C1000))</f>
        <v>0</v>
      </c>
      <c r="F9" s="59">
        <v>9.0399999999999991</v>
      </c>
      <c r="G9" s="59">
        <v>7.06</v>
      </c>
      <c r="H9" s="59">
        <v>9.84</v>
      </c>
      <c r="I9" s="59">
        <f>AVERAGEIFS(Analysis!E2:E1000,Analysis!F2:F1000,"Africa")</f>
        <v>439.05250000000001</v>
      </c>
    </row>
    <row r="10" spans="2:9" ht="18" customHeight="1" x14ac:dyDescent="0.35">
      <c r="B10" s="60" t="s">
        <v>28</v>
      </c>
      <c r="C10" s="61">
        <f>COUNTIF(Analysis!F2:F1000,"Other")</f>
        <v>86</v>
      </c>
      <c r="D10" s="62">
        <f>AVERAGEIFS(Analysis!C2:C1000,Analysis!F2:F1000,"Other")</f>
        <v>20.258139534883725</v>
      </c>
      <c r="E10" s="62">
        <f>MEDIAN(IF(Analysis!F2:F1000="Other",Analysis!C2:C1000))</f>
        <v>0</v>
      </c>
      <c r="F10" s="62">
        <v>15.58</v>
      </c>
      <c r="G10" s="62">
        <v>0.5</v>
      </c>
      <c r="H10" s="62">
        <v>48.03</v>
      </c>
      <c r="I10" s="62">
        <f>AVERAGEIFS(Analysis!E2:E1000,Analysis!F2:F1000,"Other")</f>
        <v>1587.5898837209299</v>
      </c>
    </row>
    <row r="11" spans="2:9" ht="18" customHeight="1" x14ac:dyDescent="0.35">
      <c r="B11" s="63" t="s">
        <v>145</v>
      </c>
      <c r="C11" s="64">
        <f>COUNTA(Analysis!A2:A1000)</f>
        <v>433</v>
      </c>
      <c r="D11" s="65">
        <f>AVERAGEIF(Analysis!C2:C1000,"&gt;0")</f>
        <v>21.114385150812069</v>
      </c>
      <c r="E11" s="65">
        <f>MEDIAN(Analysis!C2:C1000)</f>
        <v>14.085000000000001</v>
      </c>
      <c r="F11" s="65">
        <v>14.08</v>
      </c>
      <c r="G11" s="65">
        <v>0</v>
      </c>
      <c r="H11" s="65">
        <v>155.87</v>
      </c>
      <c r="I11" s="65">
        <f>AVERAGEIF(Analysis!C2:C1000,"&gt;0",Analysis!E2:E1000)</f>
        <v>2703.1105800464029</v>
      </c>
    </row>
    <row r="12" spans="2:9" ht="18" customHeight="1" x14ac:dyDescent="0.35"/>
    <row r="13" spans="2:9" ht="18" customHeight="1" x14ac:dyDescent="0.35">
      <c r="B13" s="1" t="s">
        <v>146</v>
      </c>
      <c r="C13" s="1"/>
      <c r="D13" s="1"/>
      <c r="E13" s="1"/>
      <c r="F13" s="1"/>
      <c r="G13" s="1"/>
      <c r="H13" s="1"/>
      <c r="I13" s="1"/>
    </row>
    <row r="14" spans="2:9" ht="27.75" customHeight="1" x14ac:dyDescent="0.35">
      <c r="B14" s="66" t="s">
        <v>34</v>
      </c>
      <c r="C14" s="66" t="s">
        <v>12</v>
      </c>
      <c r="D14" s="66" t="s">
        <v>147</v>
      </c>
      <c r="E14" s="66" t="s">
        <v>148</v>
      </c>
      <c r="F14" s="66" t="s">
        <v>149</v>
      </c>
      <c r="G14" s="66" t="s">
        <v>150</v>
      </c>
      <c r="H14" s="66" t="s">
        <v>13</v>
      </c>
      <c r="I14" s="66" t="s">
        <v>151</v>
      </c>
    </row>
    <row r="15" spans="2:9" ht="18" customHeight="1" x14ac:dyDescent="0.35">
      <c r="B15" s="67">
        <v>2015</v>
      </c>
      <c r="C15" s="68">
        <f>AVERAGEIF(Analysis!B2:B1000,2015,Analysis!C2:C1000)</f>
        <v>15.653142857142857</v>
      </c>
      <c r="D15" s="68">
        <f>AVERAGEIFS(Analysis!C2:C1000,Analysis!B2:B1000,2015,Analysis!D2:D1000,"Carbon tax")</f>
        <v>21.014705882352938</v>
      </c>
      <c r="E15" s="68">
        <f>AVERAGEIFS(Analysis!C2:C1000,Analysis!B2:B1000,2015,Analysis!D2:D1000,"ETS")</f>
        <v>10.589444444444442</v>
      </c>
      <c r="F15" s="67" t="s">
        <v>152</v>
      </c>
      <c r="G15" s="67" t="s">
        <v>152</v>
      </c>
      <c r="H15" s="69">
        <f>AVERAGEIF(Analysis!B2:B1000,2015,Analysis!E2:E1000)</f>
        <v>2886.7228571428568</v>
      </c>
      <c r="I15" s="69" t="s">
        <v>153</v>
      </c>
    </row>
    <row r="16" spans="2:9" ht="18" customHeight="1" x14ac:dyDescent="0.35">
      <c r="B16" s="70">
        <v>2016</v>
      </c>
      <c r="C16" s="71">
        <f>AVERAGEIF(Analysis!B2:B1000,2016,Analysis!C2:C1000)</f>
        <v>16.11363636363636</v>
      </c>
      <c r="D16" s="71">
        <f>AVERAGEIFS(Analysis!C2:C1000,Analysis!B2:B1000,2016,Analysis!D2:D1000,"Carbon tax")</f>
        <v>24.511875000000003</v>
      </c>
      <c r="E16" s="71">
        <f>AVERAGEIFS(Analysis!C2:C1000,Analysis!B2:B1000,2016,Analysis!D2:D1000,"ETS")</f>
        <v>8.209411764705882</v>
      </c>
      <c r="F16" s="72">
        <f t="shared" ref="F16:F23" si="0">(C16-C15)/C15</f>
        <v>2.9418597319155616E-2</v>
      </c>
      <c r="G16" s="72">
        <f>(C16/C15)^(1/1)-1</f>
        <v>2.9418597319155637E-2</v>
      </c>
      <c r="H16" s="62">
        <f>AVERAGEIF(Analysis!B2:B1000,2016,Analysis!E2:E1000)</f>
        <v>3047.0869696969698</v>
      </c>
      <c r="I16" s="62">
        <f>IFERROR(H16/H15*100, "-")</f>
        <v>105.55523063661309</v>
      </c>
    </row>
    <row r="17" spans="2:9" ht="18" customHeight="1" x14ac:dyDescent="0.35">
      <c r="B17" s="67">
        <v>2017</v>
      </c>
      <c r="C17" s="68">
        <f>AVERAGEIF(Analysis!B2:B1000,2017,Analysis!C2:C1000)</f>
        <v>15.092250000000002</v>
      </c>
      <c r="D17" s="68">
        <f>AVERAGEIFS(Analysis!C2:C1000,Analysis!B2:B1000,2017,Analysis!D2:D1000,"Carbon tax")</f>
        <v>20.72666666666667</v>
      </c>
      <c r="E17" s="68">
        <f>AVERAGEIFS(Analysis!C2:C1000,Analysis!B2:B1000,2017,Analysis!D2:D1000,"ETS")</f>
        <v>8.8647368421052644</v>
      </c>
      <c r="F17" s="73">
        <f t="shared" si="0"/>
        <v>-6.3386459802538458E-2</v>
      </c>
      <c r="G17" s="73">
        <f>(C17/C15)^(1/2)-1</f>
        <v>-1.807974011114355E-2</v>
      </c>
      <c r="H17" s="69">
        <f>AVERAGEIF(Analysis!B2:B1000,2017,Analysis!E2:E1000)</f>
        <v>2913.6205000000009</v>
      </c>
      <c r="I17" s="69">
        <f>IFERROR(H17/H15*100, "-")</f>
        <v>100.93177087611957</v>
      </c>
    </row>
    <row r="18" spans="2:9" ht="18" customHeight="1" x14ac:dyDescent="0.35">
      <c r="B18" s="70">
        <v>2018</v>
      </c>
      <c r="C18" s="71">
        <f>AVERAGEIF(Analysis!B2:B1000,2018,Analysis!C2:C1000)</f>
        <v>18.004047619047622</v>
      </c>
      <c r="D18" s="71">
        <f>AVERAGEIFS(Analysis!C2:C1000,Analysis!B2:B1000,2018,Analysis!D2:D1000,"Carbon tax")</f>
        <v>25.154782608695655</v>
      </c>
      <c r="E18" s="71">
        <f>AVERAGEIFS(Analysis!C2:C1000,Analysis!B2:B1000,2018,Analysis!D2:D1000,"ETS")</f>
        <v>9.3478947368421057</v>
      </c>
      <c r="F18" s="72">
        <f t="shared" si="0"/>
        <v>0.19293330146582649</v>
      </c>
      <c r="G18" s="72">
        <f>(C18/C15)^(1/3)-1</f>
        <v>4.7746458089225952E-2</v>
      </c>
      <c r="H18" s="62">
        <f>AVERAGEIF(Analysis!B2:B1000,2018,Analysis!E2:E1000)</f>
        <v>2890.971428571429</v>
      </c>
      <c r="I18" s="62">
        <f>IFERROR(H18/H15*100, "-")</f>
        <v>100.14717628393248</v>
      </c>
    </row>
    <row r="19" spans="2:9" ht="18" customHeight="1" x14ac:dyDescent="0.35">
      <c r="B19" s="67">
        <v>2019</v>
      </c>
      <c r="C19" s="68">
        <f>AVERAGEIF(Analysis!B2:B1000,2019,Analysis!C2:C1000)</f>
        <v>16.921777777777784</v>
      </c>
      <c r="D19" s="68">
        <f>AVERAGEIFS(Analysis!C2:C1000,Analysis!B2:B1000,2019,Analysis!D2:D1000,"Carbon tax")</f>
        <v>21.816296296296301</v>
      </c>
      <c r="E19" s="68">
        <f>AVERAGEIFS(Analysis!C2:C1000,Analysis!B2:B1000,2019,Analysis!D2:D1000,"ETS")</f>
        <v>9.5800000000000018</v>
      </c>
      <c r="F19" s="73">
        <f t="shared" si="0"/>
        <v>-6.0112584912563556E-2</v>
      </c>
      <c r="G19" s="73">
        <f>(C19/C15)^(1/4)-1</f>
        <v>1.9673445916970955E-2</v>
      </c>
      <c r="H19" s="69">
        <f>AVERAGEIF(Analysis!B2:B1000,2019,Analysis!E2:E1000)</f>
        <v>2771.8548888888886</v>
      </c>
      <c r="I19" s="69">
        <f>IFERROR(H19/H15*100, "-")</f>
        <v>96.020817586636667</v>
      </c>
    </row>
    <row r="20" spans="2:9" ht="18" customHeight="1" x14ac:dyDescent="0.35">
      <c r="B20" s="70">
        <v>2020</v>
      </c>
      <c r="C20" s="71">
        <f>AVERAGEIF(Analysis!B2:B1000,2020,Analysis!C2:C1000)</f>
        <v>16.947346938775507</v>
      </c>
      <c r="D20" s="71">
        <f>AVERAGEIFS(Analysis!C2:C1000,Analysis!B2:B1000,2020,Analysis!D2:D1000,"Carbon tax")</f>
        <v>21.53206896551724</v>
      </c>
      <c r="E20" s="71">
        <f>AVERAGEIFS(Analysis!C2:C1000,Analysis!B2:B1000,2020,Analysis!D2:D1000,"ETS")</f>
        <v>10.299499999999998</v>
      </c>
      <c r="F20" s="72">
        <f t="shared" si="0"/>
        <v>1.5110209656163253E-3</v>
      </c>
      <c r="G20" s="72">
        <f>(C20/C15)^(1/5)-1</f>
        <v>1.6014800106855631E-2</v>
      </c>
      <c r="H20" s="62">
        <f>AVERAGEIF(Analysis!B2:B1000,2020,Analysis!E2:E1000)</f>
        <v>2662.8785714285714</v>
      </c>
      <c r="I20" s="62">
        <f>IFERROR(H20/H15*100, "-")</f>
        <v>92.245729957747443</v>
      </c>
    </row>
    <row r="21" spans="2:9" ht="18" customHeight="1" x14ac:dyDescent="0.35">
      <c r="B21" s="67">
        <v>2021</v>
      </c>
      <c r="C21" s="68">
        <f>AVERAGEIF(Analysis!B2:B1000,2021,Analysis!C2:C1000)</f>
        <v>20.826379310344826</v>
      </c>
      <c r="D21" s="68">
        <f>AVERAGEIFS(Analysis!C2:C1000,Analysis!B2:B1000,2021,Analysis!D2:D1000,"Carbon tax")</f>
        <v>24.653437500000003</v>
      </c>
      <c r="E21" s="68">
        <f>AVERAGEIFS(Analysis!C2:C1000,Analysis!B2:B1000,2021,Analysis!D2:D1000,"ETS")</f>
        <v>16.116153846153846</v>
      </c>
      <c r="F21" s="73">
        <f t="shared" si="0"/>
        <v>0.22888729342609368</v>
      </c>
      <c r="G21" s="73">
        <f>(C21/C15)^(1/6)-1</f>
        <v>4.874210435574744E-2</v>
      </c>
      <c r="H21" s="69">
        <f>AVERAGEIF(Analysis!B2:B1000,2021,Analysis!E2:E1000)</f>
        <v>2468.3503448275874</v>
      </c>
      <c r="I21" s="69">
        <f>IFERROR(H21/H15*100, "-")</f>
        <v>85.507008014986425</v>
      </c>
    </row>
    <row r="22" spans="2:9" ht="18" customHeight="1" x14ac:dyDescent="0.35">
      <c r="B22" s="70">
        <v>2022</v>
      </c>
      <c r="C22" s="71">
        <f>AVERAGEIF(Analysis!B2:B1000,2022,Analysis!C2:C1000)</f>
        <v>28.461587301587304</v>
      </c>
      <c r="D22" s="71">
        <f>AVERAGEIFS(Analysis!C2:C1000,Analysis!B2:B1000,2022,Analysis!D2:D1000,"Carbon tax")</f>
        <v>30.671818181818189</v>
      </c>
      <c r="E22" s="71">
        <f>AVERAGEIFS(Analysis!C2:C1000,Analysis!B2:B1000,2022,Analysis!D2:D1000,"ETS")</f>
        <v>26.030333333333331</v>
      </c>
      <c r="F22" s="72">
        <f t="shared" si="0"/>
        <v>0.36661235625579608</v>
      </c>
      <c r="G22" s="72">
        <f>(C22/C15)^(1/7)-1</f>
        <v>8.9165655433950386E-2</v>
      </c>
      <c r="H22" s="62">
        <f>AVERAGEIF(Analysis!B2:B1000,2022,Analysis!E2:E1000)</f>
        <v>2508.3331746031754</v>
      </c>
      <c r="I22" s="62">
        <f>IFERROR(H22/H15*100, "-")</f>
        <v>86.892067535911849</v>
      </c>
    </row>
    <row r="23" spans="2:9" ht="18" customHeight="1" x14ac:dyDescent="0.35">
      <c r="B23" s="67">
        <v>2023</v>
      </c>
      <c r="C23" s="68">
        <f>AVERAGEIF(Analysis!B2:B1000,2023,Analysis!C2:C1000)</f>
        <v>30.864477611940298</v>
      </c>
      <c r="D23" s="68">
        <f>AVERAGEIFS(Analysis!C2:C1000,Analysis!B2:B1000,2023,Analysis!D2:D1000,"Carbon tax")</f>
        <v>32.099142857142851</v>
      </c>
      <c r="E23" s="68">
        <f>AVERAGEIFS(Analysis!C2:C1000,Analysis!B2:B1000,2023,Analysis!D2:D1000,"ETS")</f>
        <v>29.514062500000009</v>
      </c>
      <c r="F23" s="73">
        <f t="shared" si="0"/>
        <v>8.4425730894460163E-2</v>
      </c>
      <c r="G23" s="73">
        <f>(C23/C15)^(1/8)-1</f>
        <v>8.8572033716172172E-2</v>
      </c>
      <c r="H23" s="69">
        <f>AVERAGEIF(Analysis!B2:B1000,2023,Analysis!E2:E1000)</f>
        <v>2527.8601492537296</v>
      </c>
      <c r="I23" s="69">
        <f>IFERROR(H23/H15*100, "-")</f>
        <v>87.568508455837261</v>
      </c>
    </row>
    <row r="24" spans="2:9" ht="18" customHeight="1" x14ac:dyDescent="0.35"/>
    <row r="25" spans="2:9" ht="18" customHeight="1" x14ac:dyDescent="0.35"/>
    <row r="26" spans="2:9" ht="18" customHeight="1" x14ac:dyDescent="0.35">
      <c r="B26" s="106" t="s">
        <v>154</v>
      </c>
      <c r="C26" s="106"/>
      <c r="D26" s="106"/>
      <c r="E26" s="106"/>
      <c r="F26" s="106"/>
      <c r="G26" s="106"/>
      <c r="H26" s="106"/>
      <c r="I26" s="106"/>
    </row>
    <row r="27" spans="2:9" ht="18" customHeight="1" x14ac:dyDescent="0.35">
      <c r="B27" s="74" t="s">
        <v>155</v>
      </c>
      <c r="C27" s="74" t="s">
        <v>156</v>
      </c>
      <c r="D27" s="74" t="s">
        <v>71</v>
      </c>
      <c r="E27" s="74" t="s">
        <v>157</v>
      </c>
      <c r="F27" s="74" t="s">
        <v>158</v>
      </c>
    </row>
    <row r="28" spans="2:9" ht="18" customHeight="1" x14ac:dyDescent="0.35">
      <c r="B28" s="75" t="s">
        <v>159</v>
      </c>
      <c r="C28" s="76">
        <f>COUNTIF(Analysis!D2:D1000,"Carbon tax")</f>
        <v>233</v>
      </c>
      <c r="D28" s="76">
        <f>COUNTIF(Analysis!D2:D1000,"ETS")</f>
        <v>199</v>
      </c>
      <c r="E28" s="76">
        <f t="shared" ref="E28:E33" si="1">D29-C29</f>
        <v>-9.2519045873142538</v>
      </c>
      <c r="F28" s="75" t="s">
        <v>160</v>
      </c>
    </row>
    <row r="29" spans="2:9" ht="18" customHeight="1" x14ac:dyDescent="0.35">
      <c r="B29" s="60" t="s">
        <v>161</v>
      </c>
      <c r="C29" s="71">
        <f>AVERAGEIF(Analysis!D2:D1000,"Carbon tax",Analysis!C2:C1000)</f>
        <v>25.327381974248929</v>
      </c>
      <c r="D29" s="71">
        <f>AVERAGEIF(Analysis!D2:D1000,"ETS",Analysis!C2:C1000)</f>
        <v>16.075477386934676</v>
      </c>
      <c r="E29" s="71">
        <f t="shared" si="1"/>
        <v>23.613986284232752</v>
      </c>
      <c r="F29" s="60" t="s">
        <v>162</v>
      </c>
    </row>
    <row r="30" spans="2:9" ht="18" customHeight="1" x14ac:dyDescent="0.35">
      <c r="B30" s="75" t="s">
        <v>163</v>
      </c>
      <c r="C30" s="77">
        <f>IFERROR(STDEV(IF(Analysis!D2:D1000="Carbon tax",Analysis!C2:C1000)),0)</f>
        <v>0</v>
      </c>
      <c r="D30" s="77">
        <f>IFERROR(STDEV(IF(Analysis!D2:D1000="ETS",Analysis!C2:C1000)),0)</f>
        <v>23.613986284232752</v>
      </c>
      <c r="E30" s="77">
        <f t="shared" si="1"/>
        <v>5093.8776985787281</v>
      </c>
      <c r="F30" s="75" t="s">
        <v>164</v>
      </c>
    </row>
    <row r="31" spans="2:9" ht="18" customHeight="1" x14ac:dyDescent="0.35">
      <c r="B31" s="60" t="s">
        <v>165</v>
      </c>
      <c r="C31" s="62">
        <f>AVERAGEIF(Analysis!D2:D1000,"Carbon tax",Analysis!E2:E1000)</f>
        <v>351.02682403433488</v>
      </c>
      <c r="D31" s="62">
        <f>AVERAGEIF(Analysis!D2:D1000,"ETS",Analysis!E2:E1000)</f>
        <v>5444.9045226130629</v>
      </c>
      <c r="E31" s="62">
        <f t="shared" si="1"/>
        <v>10389.743680108262</v>
      </c>
      <c r="F31" s="60" t="s">
        <v>166</v>
      </c>
    </row>
    <row r="32" spans="2:9" ht="18" customHeight="1" x14ac:dyDescent="0.35">
      <c r="B32" s="75" t="s">
        <v>167</v>
      </c>
      <c r="C32" s="78">
        <f>AVERAGEIF(Analysis!D2:D1000,"Carbon tax",Analysis!G2:G1000)</f>
        <v>2006.5118841630906</v>
      </c>
      <c r="D32" s="78">
        <f>AVERAGEIF(Analysis!D2:D1000,"ETS",Analysis!G2:G1000)</f>
        <v>12396.255564271352</v>
      </c>
      <c r="E32" s="78">
        <f t="shared" si="1"/>
        <v>-0.59727191642146338</v>
      </c>
      <c r="F32" s="75" t="s">
        <v>168</v>
      </c>
    </row>
    <row r="33" spans="2:9" ht="18" customHeight="1" x14ac:dyDescent="0.35">
      <c r="B33" s="60" t="s">
        <v>169</v>
      </c>
      <c r="C33" s="79">
        <f>AVERAGEIF(Analysis!D2:D1000,"Carbon tax",Analysis!H2:H1000)</f>
        <v>0.65548313137147562</v>
      </c>
      <c r="D33" s="79">
        <f>AVERAGEIF(Analysis!D2:D1000,"ETS",Analysis!H2:H1000)</f>
        <v>5.821121495001224E-2</v>
      </c>
      <c r="E33" s="79">
        <f t="shared" si="1"/>
        <v>0</v>
      </c>
      <c r="F33" s="60" t="s">
        <v>170</v>
      </c>
    </row>
    <row r="34" spans="2:9" ht="18" customHeight="1" x14ac:dyDescent="0.35"/>
    <row r="35" spans="2:9" ht="18" customHeight="1" x14ac:dyDescent="0.35"/>
    <row r="36" spans="2:9" ht="18" customHeight="1" x14ac:dyDescent="0.35">
      <c r="B36" s="107" t="s">
        <v>171</v>
      </c>
      <c r="C36" s="107"/>
      <c r="D36" s="107"/>
      <c r="E36" s="107"/>
      <c r="F36" s="107"/>
      <c r="G36" s="107"/>
      <c r="H36" s="107"/>
      <c r="I36" s="107"/>
    </row>
    <row r="37" spans="2:9" ht="39.75" customHeight="1" x14ac:dyDescent="0.35">
      <c r="B37" s="108" t="s">
        <v>172</v>
      </c>
      <c r="C37" s="108"/>
      <c r="D37" s="108"/>
      <c r="E37" s="108"/>
      <c r="F37" s="108"/>
      <c r="G37" s="108"/>
      <c r="H37" s="108"/>
      <c r="I37" s="108"/>
    </row>
    <row r="38" spans="2:9" ht="39.75" customHeight="1" x14ac:dyDescent="0.35">
      <c r="B38" s="108"/>
      <c r="C38" s="108"/>
      <c r="D38" s="108"/>
      <c r="E38" s="108"/>
      <c r="F38" s="108"/>
      <c r="G38" s="108"/>
      <c r="H38" s="108"/>
      <c r="I38" s="108"/>
    </row>
    <row r="39" spans="2:9" ht="21.75" customHeight="1" x14ac:dyDescent="0.35">
      <c r="B39" s="109" t="s">
        <v>173</v>
      </c>
      <c r="C39" s="109"/>
      <c r="D39" s="109"/>
      <c r="E39" s="109"/>
      <c r="F39" s="109"/>
      <c r="G39" s="109"/>
      <c r="H39" s="109"/>
      <c r="I39" s="109"/>
    </row>
    <row r="40" spans="2:9" ht="18" customHeight="1" x14ac:dyDescent="0.35">
      <c r="B40" s="110" t="s">
        <v>174</v>
      </c>
      <c r="C40" s="110"/>
      <c r="D40" s="110"/>
      <c r="E40" s="110"/>
      <c r="F40" s="110"/>
      <c r="G40" s="110"/>
      <c r="H40" s="110"/>
      <c r="I40" s="110"/>
    </row>
    <row r="41" spans="2:9" ht="18" customHeight="1" x14ac:dyDescent="0.35">
      <c r="B41" s="111" t="s">
        <v>175</v>
      </c>
      <c r="C41" s="111"/>
      <c r="D41" s="111"/>
      <c r="E41" s="111"/>
      <c r="F41" s="111"/>
      <c r="G41" s="111"/>
      <c r="H41" s="111"/>
      <c r="I41" s="111"/>
    </row>
    <row r="42" spans="2:9" ht="18" customHeight="1" x14ac:dyDescent="0.35">
      <c r="B42" s="110" t="s">
        <v>176</v>
      </c>
      <c r="C42" s="110"/>
      <c r="D42" s="110"/>
      <c r="E42" s="110"/>
      <c r="F42" s="110"/>
      <c r="G42" s="110"/>
      <c r="H42" s="110"/>
      <c r="I42" s="110"/>
    </row>
    <row r="43" spans="2:9" ht="18" customHeight="1" x14ac:dyDescent="0.35">
      <c r="B43" s="111" t="s">
        <v>177</v>
      </c>
      <c r="C43" s="111"/>
      <c r="D43" s="111"/>
      <c r="E43" s="111"/>
      <c r="F43" s="111"/>
      <c r="G43" s="111"/>
      <c r="H43" s="111"/>
      <c r="I43" s="111"/>
    </row>
    <row r="44" spans="2:9" ht="18" customHeight="1" x14ac:dyDescent="0.35">
      <c r="B44" s="112" t="s">
        <v>178</v>
      </c>
      <c r="C44" s="112"/>
      <c r="D44" s="112"/>
      <c r="E44" s="112"/>
      <c r="F44" s="112"/>
      <c r="G44" s="112"/>
      <c r="H44" s="112"/>
      <c r="I44" s="112"/>
    </row>
    <row r="45" spans="2:9" ht="18" customHeight="1" x14ac:dyDescent="0.35">
      <c r="B45" s="113" t="s">
        <v>179</v>
      </c>
      <c r="C45" s="113"/>
      <c r="D45" s="113"/>
      <c r="E45" s="113"/>
      <c r="F45" s="113"/>
      <c r="G45" s="113"/>
      <c r="H45" s="113"/>
      <c r="I45" s="113"/>
    </row>
    <row r="46" spans="2:9" ht="18" customHeight="1" x14ac:dyDescent="0.35">
      <c r="B46" s="112" t="s">
        <v>180</v>
      </c>
      <c r="C46" s="112"/>
      <c r="D46" s="112"/>
      <c r="E46" s="112"/>
      <c r="F46" s="112"/>
      <c r="G46" s="112"/>
      <c r="H46" s="112"/>
      <c r="I46" s="112"/>
    </row>
    <row r="47" spans="2:9" ht="18" customHeight="1" x14ac:dyDescent="0.35"/>
    <row r="48" spans="2:9" ht="18" customHeight="1" x14ac:dyDescent="0.35">
      <c r="B48" s="114" t="s">
        <v>181</v>
      </c>
      <c r="C48" s="114"/>
      <c r="D48" s="114"/>
      <c r="E48" s="114"/>
      <c r="F48" s="114"/>
      <c r="G48" s="114"/>
      <c r="H48" s="114"/>
      <c r="I48" s="114"/>
    </row>
    <row r="49" spans="2:9" ht="27.75" customHeight="1" x14ac:dyDescent="0.35">
      <c r="B49" s="115" t="s">
        <v>182</v>
      </c>
      <c r="C49" s="115"/>
      <c r="D49" s="115"/>
      <c r="E49" s="115"/>
      <c r="F49" s="115"/>
      <c r="G49" s="115"/>
      <c r="H49" s="115"/>
      <c r="I49" s="115"/>
    </row>
    <row r="50" spans="2:9" ht="27.75" customHeight="1" x14ac:dyDescent="0.35">
      <c r="B50" s="115" t="s">
        <v>183</v>
      </c>
      <c r="C50" s="115"/>
      <c r="D50" s="115"/>
      <c r="E50" s="115"/>
      <c r="F50" s="115"/>
      <c r="G50" s="115"/>
      <c r="H50" s="115"/>
      <c r="I50" s="115"/>
    </row>
    <row r="51" spans="2:9" ht="27.75" customHeight="1" x14ac:dyDescent="0.35">
      <c r="B51" s="115" t="s">
        <v>184</v>
      </c>
      <c r="C51" s="115"/>
      <c r="D51" s="115"/>
      <c r="E51" s="115"/>
      <c r="F51" s="115"/>
      <c r="G51" s="115"/>
      <c r="H51" s="115"/>
      <c r="I51" s="115"/>
    </row>
    <row r="52" spans="2:9" ht="27.75" customHeight="1" x14ac:dyDescent="0.35">
      <c r="B52" s="80" t="s">
        <v>185</v>
      </c>
      <c r="C52" s="80" t="s">
        <v>186</v>
      </c>
      <c r="D52" s="80" t="s">
        <v>187</v>
      </c>
      <c r="E52" s="80" t="s">
        <v>188</v>
      </c>
      <c r="F52" s="80" t="s">
        <v>189</v>
      </c>
    </row>
    <row r="53" spans="2:9" ht="18" customHeight="1" x14ac:dyDescent="0.35">
      <c r="B53" s="81" t="s">
        <v>190</v>
      </c>
      <c r="C53" s="82">
        <v>25</v>
      </c>
      <c r="D53" s="82">
        <f>COUNTIF(Analysis!C2:C1000,"&gt;25")</f>
        <v>117</v>
      </c>
      <c r="E53" s="83">
        <f>D53/COUNTA(Analysis!A2:A1000)</f>
        <v>0.2702078521939954</v>
      </c>
      <c r="F53" s="84">
        <f>IFERROR(AVERAGEIF(Analysis!C2:C1000,"&gt;25",Analysis!E2:E1000),"-")</f>
        <v>551.88914529914484</v>
      </c>
    </row>
    <row r="54" spans="2:9" ht="18" customHeight="1" x14ac:dyDescent="0.35">
      <c r="B54" s="60" t="s">
        <v>191</v>
      </c>
      <c r="C54" s="61">
        <v>75</v>
      </c>
      <c r="D54" s="61">
        <f>COUNTIF(Analysis!C2:C1000,"&gt;75")</f>
        <v>17</v>
      </c>
      <c r="E54" s="72">
        <f>D54/COUNTA(Analysis!A2:A1000)</f>
        <v>3.9260969976905313E-2</v>
      </c>
      <c r="F54" s="62">
        <f>IFERROR(AVERAGEIF(Analysis!C2:C1000,"&gt;75",Analysis!E2:E1000),"-")</f>
        <v>453.61235294117648</v>
      </c>
    </row>
    <row r="55" spans="2:9" ht="18" customHeight="1" x14ac:dyDescent="0.35">
      <c r="B55" s="81" t="s">
        <v>192</v>
      </c>
      <c r="C55" s="82">
        <v>150</v>
      </c>
      <c r="D55" s="82">
        <f>COUNTIF(Analysis!C2:C1000,"&gt;150")</f>
        <v>1</v>
      </c>
      <c r="E55" s="83">
        <f>D55/COUNTA(Analysis!A2:A1000)</f>
        <v>2.3094688221709007E-3</v>
      </c>
      <c r="F55" s="84">
        <f>IFERROR(AVERAGEIF(Analysis!C2:C1000,"&gt;150",Analysis!E2:E1000),"-")</f>
        <v>35.49</v>
      </c>
    </row>
    <row r="56" spans="2:9" ht="18" customHeight="1" x14ac:dyDescent="0.35">
      <c r="B56" s="60" t="s">
        <v>193</v>
      </c>
      <c r="C56" s="61">
        <v>190</v>
      </c>
      <c r="D56" s="61">
        <f>COUNTIF(Analysis!C2:C1000,"&gt;190")</f>
        <v>0</v>
      </c>
      <c r="E56" s="72">
        <f>D56/COUNTA(Analysis!A2:A1000)</f>
        <v>0</v>
      </c>
      <c r="F56" s="62" t="str">
        <f>IFERROR(AVERAGEIF(Analysis!C2:C1000,"&gt;190",Analysis!E2:E1000),"-")</f>
        <v>-</v>
      </c>
    </row>
    <row r="57" spans="2:9" ht="18" customHeight="1" x14ac:dyDescent="0.35">
      <c r="B57" s="81" t="s">
        <v>194</v>
      </c>
      <c r="C57" s="82">
        <v>100</v>
      </c>
      <c r="D57" s="82">
        <f>COUNTIF(Analysis!C2:C1000,"&gt;100")</f>
        <v>6</v>
      </c>
      <c r="E57" s="83">
        <f>D57/COUNTA(Analysis!A2:A1000)</f>
        <v>1.3856812933025405E-2</v>
      </c>
      <c r="F57" s="84">
        <f>IFERROR(AVERAGEIF(Analysis!C2:C1000,"&gt;100",Analysis!E2:E1000),"-")</f>
        <v>42.143333333333338</v>
      </c>
    </row>
    <row r="58" spans="2:9" ht="18" customHeight="1" x14ac:dyDescent="0.35"/>
    <row r="59" spans="2:9" ht="18" customHeight="1" x14ac:dyDescent="0.35"/>
    <row r="60" spans="2:9" ht="18" customHeight="1" x14ac:dyDescent="0.35">
      <c r="B60" s="116" t="s">
        <v>195</v>
      </c>
      <c r="C60" s="116"/>
      <c r="D60" s="116"/>
      <c r="E60" s="116"/>
      <c r="F60" s="116"/>
      <c r="G60" s="116"/>
      <c r="H60" s="116"/>
      <c r="I60" s="116"/>
    </row>
    <row r="61" spans="2:9" ht="15.75" customHeight="1" x14ac:dyDescent="0.35">
      <c r="B61" s="117" t="s">
        <v>196</v>
      </c>
      <c r="C61" s="117"/>
      <c r="D61" s="117"/>
      <c r="E61" s="117"/>
      <c r="F61" s="117"/>
      <c r="G61" s="117"/>
      <c r="H61" s="117"/>
      <c r="I61" s="117"/>
    </row>
    <row r="62" spans="2:9" ht="31.5" customHeight="1" x14ac:dyDescent="0.35">
      <c r="B62" s="118" t="s">
        <v>197</v>
      </c>
      <c r="C62" s="118"/>
      <c r="D62" s="118"/>
      <c r="E62" s="118"/>
      <c r="F62" s="118"/>
      <c r="G62" s="118"/>
      <c r="H62" s="118"/>
      <c r="I62" s="118"/>
    </row>
    <row r="63" spans="2:9" ht="15.75" customHeight="1" x14ac:dyDescent="0.35">
      <c r="B63" s="117" t="s">
        <v>198</v>
      </c>
      <c r="C63" s="117"/>
      <c r="D63" s="117"/>
      <c r="E63" s="117"/>
      <c r="F63" s="117"/>
      <c r="G63" s="117"/>
      <c r="H63" s="117"/>
      <c r="I63" s="117"/>
    </row>
    <row r="64" spans="2:9" ht="31.5" customHeight="1" x14ac:dyDescent="0.35">
      <c r="B64" s="118" t="s">
        <v>199</v>
      </c>
      <c r="C64" s="118"/>
      <c r="D64" s="118"/>
      <c r="E64" s="118"/>
      <c r="F64" s="118"/>
      <c r="G64" s="118"/>
      <c r="H64" s="118"/>
      <c r="I64" s="118"/>
    </row>
    <row r="65" spans="2:9" ht="15.75" customHeight="1" x14ac:dyDescent="0.35">
      <c r="B65" s="117" t="s">
        <v>200</v>
      </c>
      <c r="C65" s="117"/>
      <c r="D65" s="117"/>
      <c r="E65" s="117"/>
      <c r="F65" s="117"/>
      <c r="G65" s="117"/>
      <c r="H65" s="117"/>
      <c r="I65" s="117"/>
    </row>
    <row r="66" spans="2:9" ht="31.5" customHeight="1" x14ac:dyDescent="0.35">
      <c r="B66" s="118" t="s">
        <v>201</v>
      </c>
      <c r="C66" s="118"/>
      <c r="D66" s="118"/>
      <c r="E66" s="118"/>
      <c r="F66" s="118"/>
      <c r="G66" s="118"/>
      <c r="H66" s="118"/>
      <c r="I66" s="118"/>
    </row>
    <row r="67" spans="2:9" ht="15.75" customHeight="1" x14ac:dyDescent="0.35">
      <c r="B67" s="117" t="s">
        <v>202</v>
      </c>
      <c r="C67" s="117"/>
      <c r="D67" s="117"/>
      <c r="E67" s="117"/>
      <c r="F67" s="117"/>
      <c r="G67" s="117"/>
      <c r="H67" s="117"/>
      <c r="I67" s="117"/>
    </row>
    <row r="68" spans="2:9" ht="31.5" customHeight="1" x14ac:dyDescent="0.35">
      <c r="B68" s="118" t="s">
        <v>203</v>
      </c>
      <c r="C68" s="118"/>
      <c r="D68" s="118"/>
      <c r="E68" s="118"/>
      <c r="F68" s="118"/>
      <c r="G68" s="118"/>
      <c r="H68" s="118"/>
      <c r="I68" s="118"/>
    </row>
    <row r="69" spans="2:9" ht="15.75" customHeight="1" x14ac:dyDescent="0.35">
      <c r="B69" s="117" t="s">
        <v>204</v>
      </c>
      <c r="C69" s="117"/>
      <c r="D69" s="117"/>
      <c r="E69" s="117"/>
      <c r="F69" s="117"/>
      <c r="G69" s="117"/>
      <c r="H69" s="117"/>
      <c r="I69" s="117"/>
    </row>
    <row r="70" spans="2:9" ht="31.5" customHeight="1" x14ac:dyDescent="0.35">
      <c r="B70" s="118" t="s">
        <v>205</v>
      </c>
      <c r="C70" s="118"/>
      <c r="D70" s="118"/>
      <c r="E70" s="118"/>
      <c r="F70" s="118"/>
      <c r="G70" s="118"/>
      <c r="H70" s="118"/>
      <c r="I70" s="118"/>
    </row>
    <row r="71" spans="2:9" ht="18" customHeight="1" x14ac:dyDescent="0.35"/>
    <row r="72" spans="2:9" ht="18" customHeight="1" x14ac:dyDescent="0.35"/>
    <row r="73" spans="2:9" ht="18" customHeight="1" x14ac:dyDescent="0.35"/>
    <row r="74" spans="2:9" ht="18" customHeight="1" x14ac:dyDescent="0.35"/>
    <row r="75" spans="2:9" ht="18" customHeight="1" x14ac:dyDescent="0.35"/>
    <row r="76" spans="2:9" ht="18" customHeight="1" x14ac:dyDescent="0.35"/>
    <row r="77" spans="2:9" ht="18" customHeight="1" x14ac:dyDescent="0.35"/>
    <row r="78" spans="2:9" ht="18" customHeight="1" x14ac:dyDescent="0.35"/>
    <row r="79" spans="2:9" ht="18" customHeight="1" x14ac:dyDescent="0.35"/>
    <row r="80" spans="2:9" ht="18" customHeight="1" x14ac:dyDescent="0.35"/>
    <row r="81" ht="18" customHeight="1" x14ac:dyDescent="0.35"/>
    <row r="82" ht="18" customHeight="1" x14ac:dyDescent="0.35"/>
    <row r="83" ht="18" customHeight="1" x14ac:dyDescent="0.35"/>
    <row r="84" ht="18" customHeight="1" x14ac:dyDescent="0.35"/>
    <row r="85" ht="18" customHeight="1" x14ac:dyDescent="0.35"/>
    <row r="86" ht="18" customHeight="1" x14ac:dyDescent="0.35"/>
    <row r="87" ht="18" customHeight="1" x14ac:dyDescent="0.35"/>
    <row r="88" ht="18" customHeight="1" x14ac:dyDescent="0.35"/>
    <row r="89" ht="18" customHeight="1" x14ac:dyDescent="0.35"/>
    <row r="90" ht="18" customHeight="1" x14ac:dyDescent="0.35"/>
    <row r="91" ht="18" customHeight="1" x14ac:dyDescent="0.35"/>
    <row r="92" ht="18" customHeight="1" x14ac:dyDescent="0.35"/>
    <row r="93" ht="18" customHeight="1" x14ac:dyDescent="0.35"/>
    <row r="94" ht="18" customHeight="1" x14ac:dyDescent="0.35"/>
    <row r="95" ht="18" customHeight="1" x14ac:dyDescent="0.35"/>
    <row r="96" ht="18" customHeight="1" x14ac:dyDescent="0.35"/>
    <row r="97" ht="18" customHeight="1" x14ac:dyDescent="0.35"/>
    <row r="98" ht="18" customHeight="1" x14ac:dyDescent="0.35"/>
    <row r="99" ht="18" customHeight="1" x14ac:dyDescent="0.35"/>
    <row r="100" ht="18" customHeight="1" x14ac:dyDescent="0.35"/>
    <row r="101" ht="18" customHeight="1" x14ac:dyDescent="0.35"/>
    <row r="102" ht="18" customHeight="1" x14ac:dyDescent="0.35"/>
    <row r="103" ht="18" customHeight="1" x14ac:dyDescent="0.35"/>
    <row r="104" ht="18" customHeight="1" x14ac:dyDescent="0.35"/>
    <row r="105" ht="18" customHeight="1" x14ac:dyDescent="0.35"/>
    <row r="106" ht="18" customHeight="1" x14ac:dyDescent="0.35"/>
    <row r="107" ht="18" customHeight="1" x14ac:dyDescent="0.35"/>
    <row r="108" ht="18" customHeight="1" x14ac:dyDescent="0.35"/>
    <row r="109" ht="18" customHeight="1" x14ac:dyDescent="0.35"/>
    <row r="110" ht="18" customHeight="1" x14ac:dyDescent="0.35"/>
    <row r="111" ht="18" customHeight="1" x14ac:dyDescent="0.35"/>
    <row r="112" ht="18" customHeight="1" x14ac:dyDescent="0.35"/>
    <row r="113" ht="18" customHeight="1" x14ac:dyDescent="0.35"/>
    <row r="114" ht="18" customHeight="1" x14ac:dyDescent="0.35"/>
    <row r="115" ht="18" customHeight="1" x14ac:dyDescent="0.35"/>
    <row r="116" ht="18" customHeight="1" x14ac:dyDescent="0.35"/>
    <row r="117" ht="18" customHeight="1" x14ac:dyDescent="0.35"/>
    <row r="118" ht="18" customHeight="1" x14ac:dyDescent="0.35"/>
    <row r="119" ht="18" customHeight="1" x14ac:dyDescent="0.35"/>
  </sheetData>
  <mergeCells count="29">
    <mergeCell ref="B67:I67"/>
    <mergeCell ref="B68:I68"/>
    <mergeCell ref="B69:I69"/>
    <mergeCell ref="B70:I70"/>
    <mergeCell ref="B62:I62"/>
    <mergeCell ref="B63:I63"/>
    <mergeCell ref="B64:I64"/>
    <mergeCell ref="B65:I65"/>
    <mergeCell ref="B66:I66"/>
    <mergeCell ref="B49:I49"/>
    <mergeCell ref="B50:I50"/>
    <mergeCell ref="B51:I51"/>
    <mergeCell ref="B60:I60"/>
    <mergeCell ref="B61:I61"/>
    <mergeCell ref="B43:I43"/>
    <mergeCell ref="B44:I44"/>
    <mergeCell ref="B45:I45"/>
    <mergeCell ref="B46:I46"/>
    <mergeCell ref="B48:I48"/>
    <mergeCell ref="B37:I38"/>
    <mergeCell ref="B39:I39"/>
    <mergeCell ref="B40:I40"/>
    <mergeCell ref="B41:I41"/>
    <mergeCell ref="B42:I42"/>
    <mergeCell ref="B1:I1"/>
    <mergeCell ref="B3:I3"/>
    <mergeCell ref="B13:I13"/>
    <mergeCell ref="B26:I26"/>
    <mergeCell ref="B36:I36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7D32"/>
  </sheetPr>
  <dimension ref="A1:G64"/>
  <sheetViews>
    <sheetView showGridLines="0" zoomScaleNormal="100" workbookViewId="0">
      <selection activeCell="H69" sqref="H69"/>
    </sheetView>
  </sheetViews>
  <sheetFormatPr defaultColWidth="8.6328125" defaultRowHeight="14.5" x14ac:dyDescent="0.35"/>
  <cols>
    <col min="1" max="7" width="20" style="13" customWidth="1"/>
  </cols>
  <sheetData>
    <row r="1" spans="1:7" ht="27.75" customHeight="1" x14ac:dyDescent="0.35">
      <c r="A1" s="119" t="s">
        <v>206</v>
      </c>
      <c r="B1" s="119"/>
      <c r="C1" s="119"/>
      <c r="D1" s="119"/>
      <c r="E1" s="119"/>
      <c r="F1" s="119"/>
      <c r="G1" s="119"/>
    </row>
    <row r="2" spans="1:7" ht="15" customHeight="1" x14ac:dyDescent="0.35">
      <c r="A2" s="85" t="s">
        <v>33</v>
      </c>
      <c r="B2" s="85" t="s">
        <v>35</v>
      </c>
      <c r="C2" s="85" t="s">
        <v>37</v>
      </c>
      <c r="D2" s="85" t="s">
        <v>36</v>
      </c>
      <c r="E2" s="85" t="s">
        <v>1</v>
      </c>
      <c r="F2" s="85" t="s">
        <v>40</v>
      </c>
      <c r="G2" s="85" t="s">
        <v>41</v>
      </c>
    </row>
    <row r="3" spans="1:7" ht="15" customHeight="1" x14ac:dyDescent="0.35">
      <c r="A3" s="86" t="s">
        <v>70</v>
      </c>
      <c r="B3" s="87">
        <v>48.03</v>
      </c>
      <c r="C3" s="87">
        <v>875.95</v>
      </c>
      <c r="D3" s="86" t="s">
        <v>71</v>
      </c>
      <c r="E3" s="86" t="s">
        <v>26</v>
      </c>
      <c r="F3" s="87">
        <v>3.8717999999999999</v>
      </c>
      <c r="G3" s="87">
        <v>6.7752999999999997</v>
      </c>
    </row>
    <row r="4" spans="1:7" ht="15" customHeight="1" x14ac:dyDescent="0.35">
      <c r="A4" s="88" t="s">
        <v>73</v>
      </c>
      <c r="B4" s="89">
        <v>4.97</v>
      </c>
      <c r="C4" s="89">
        <v>435.28</v>
      </c>
      <c r="D4" s="88" t="s">
        <v>72</v>
      </c>
      <c r="E4" s="88" t="s">
        <v>24</v>
      </c>
      <c r="F4" s="89">
        <v>1.6033999999999999</v>
      </c>
      <c r="G4" s="89">
        <v>6.0759999999999996</v>
      </c>
    </row>
    <row r="5" spans="1:7" ht="15" customHeight="1" x14ac:dyDescent="0.35">
      <c r="A5" s="86" t="s">
        <v>74</v>
      </c>
      <c r="B5" s="87">
        <v>35.340000000000003</v>
      </c>
      <c r="C5" s="87">
        <v>61.93</v>
      </c>
      <c r="D5" s="86" t="s">
        <v>71</v>
      </c>
      <c r="E5" s="86" t="s">
        <v>22</v>
      </c>
      <c r="F5" s="87">
        <v>3.5649999999999999</v>
      </c>
      <c r="G5" s="87">
        <v>4.1260000000000003</v>
      </c>
    </row>
    <row r="6" spans="1:7" ht="15" customHeight="1" x14ac:dyDescent="0.35">
      <c r="A6" s="88" t="s">
        <v>75</v>
      </c>
      <c r="B6" s="89">
        <v>8.32</v>
      </c>
      <c r="C6" s="89">
        <v>676.79</v>
      </c>
      <c r="D6" s="88" t="s">
        <v>72</v>
      </c>
      <c r="E6" s="88" t="s">
        <v>24</v>
      </c>
      <c r="F6" s="89">
        <v>2.1187</v>
      </c>
      <c r="G6" s="89">
        <v>6.5174000000000003</v>
      </c>
    </row>
    <row r="7" spans="1:7" ht="15" customHeight="1" x14ac:dyDescent="0.35">
      <c r="A7" s="86" t="s">
        <v>76</v>
      </c>
      <c r="B7" s="87">
        <v>12.96</v>
      </c>
      <c r="C7" s="87">
        <v>13152.05</v>
      </c>
      <c r="D7" s="86" t="s">
        <v>71</v>
      </c>
      <c r="E7" s="86" t="s">
        <v>20</v>
      </c>
      <c r="F7" s="87">
        <v>2.5619000000000001</v>
      </c>
      <c r="G7" s="87">
        <v>9.4842999999999993</v>
      </c>
    </row>
    <row r="8" spans="1:7" ht="15" customHeight="1" x14ac:dyDescent="0.35">
      <c r="A8" s="88" t="s">
        <v>77</v>
      </c>
      <c r="B8" s="89">
        <v>48.03</v>
      </c>
      <c r="C8" s="89">
        <v>875.95</v>
      </c>
      <c r="D8" s="88" t="s">
        <v>72</v>
      </c>
      <c r="E8" s="88" t="s">
        <v>26</v>
      </c>
      <c r="F8" s="89">
        <v>3.8717999999999999</v>
      </c>
      <c r="G8" s="89">
        <v>6.7752999999999997</v>
      </c>
    </row>
    <row r="9" spans="1:7" ht="15" customHeight="1" x14ac:dyDescent="0.35">
      <c r="A9" s="86" t="s">
        <v>78</v>
      </c>
      <c r="B9" s="87">
        <v>29.84</v>
      </c>
      <c r="C9" s="87">
        <v>5434.18</v>
      </c>
      <c r="D9" s="86" t="s">
        <v>71</v>
      </c>
      <c r="E9" s="86" t="s">
        <v>26</v>
      </c>
      <c r="F9" s="87">
        <v>3.3957999999999999</v>
      </c>
      <c r="G9" s="87">
        <v>8.6005000000000003</v>
      </c>
    </row>
    <row r="10" spans="1:7" ht="15" customHeight="1" x14ac:dyDescent="0.35">
      <c r="A10" s="88" t="s">
        <v>79</v>
      </c>
      <c r="B10" s="89">
        <v>48.03</v>
      </c>
      <c r="C10" s="89">
        <v>875.95</v>
      </c>
      <c r="D10" s="88" t="s">
        <v>72</v>
      </c>
      <c r="E10" s="88" t="s">
        <v>26</v>
      </c>
      <c r="F10" s="89">
        <v>3.8717999999999999</v>
      </c>
      <c r="G10" s="89">
        <v>6.7752999999999997</v>
      </c>
    </row>
    <row r="11" spans="1:7" ht="15" customHeight="1" x14ac:dyDescent="0.35">
      <c r="A11" s="86" t="s">
        <v>80</v>
      </c>
      <c r="B11" s="87">
        <v>5</v>
      </c>
      <c r="C11" s="87">
        <v>102.71</v>
      </c>
      <c r="D11" s="86" t="s">
        <v>72</v>
      </c>
      <c r="E11" s="86" t="s">
        <v>24</v>
      </c>
      <c r="F11" s="87">
        <v>1.6093999999999999</v>
      </c>
      <c r="G11" s="87">
        <v>4.6318999999999999</v>
      </c>
    </row>
    <row r="12" spans="1:7" ht="15" customHeight="1" x14ac:dyDescent="0.35">
      <c r="A12" s="88" t="s">
        <v>81</v>
      </c>
      <c r="B12" s="89">
        <v>8.15</v>
      </c>
      <c r="C12" s="89">
        <v>13152.05</v>
      </c>
      <c r="D12" s="88" t="s">
        <v>71</v>
      </c>
      <c r="E12" s="88" t="s">
        <v>20</v>
      </c>
      <c r="F12" s="89">
        <v>2.0979999999999999</v>
      </c>
      <c r="G12" s="89">
        <v>9.4842999999999993</v>
      </c>
    </row>
    <row r="13" spans="1:7" ht="15" customHeight="1" x14ac:dyDescent="0.35">
      <c r="A13" s="86" t="s">
        <v>82</v>
      </c>
      <c r="B13" s="87">
        <v>4.66</v>
      </c>
      <c r="C13" s="87">
        <v>13152.05</v>
      </c>
      <c r="D13" s="86" t="s">
        <v>71</v>
      </c>
      <c r="E13" s="86" t="s">
        <v>20</v>
      </c>
      <c r="F13" s="87">
        <v>1.5389999999999999</v>
      </c>
      <c r="G13" s="87">
        <v>9.4842999999999993</v>
      </c>
    </row>
    <row r="14" spans="1:7" ht="15" customHeight="1" x14ac:dyDescent="0.35">
      <c r="A14" s="88" t="s">
        <v>83</v>
      </c>
      <c r="B14" s="89">
        <v>5.0599999999999996</v>
      </c>
      <c r="C14" s="89">
        <v>294.08</v>
      </c>
      <c r="D14" s="88" t="s">
        <v>72</v>
      </c>
      <c r="E14" s="88" t="s">
        <v>24</v>
      </c>
      <c r="F14" s="89">
        <v>1.6214</v>
      </c>
      <c r="G14" s="89">
        <v>5.6839000000000004</v>
      </c>
    </row>
    <row r="15" spans="1:7" ht="15" customHeight="1" x14ac:dyDescent="0.35">
      <c r="A15" s="86" t="s">
        <v>84</v>
      </c>
      <c r="B15" s="87">
        <v>26.53</v>
      </c>
      <c r="C15" s="87">
        <v>38.04</v>
      </c>
      <c r="D15" s="86" t="s">
        <v>72</v>
      </c>
      <c r="E15" s="86" t="s">
        <v>22</v>
      </c>
      <c r="F15" s="87">
        <v>3.2783000000000002</v>
      </c>
      <c r="G15" s="87">
        <v>3.6385999999999998</v>
      </c>
    </row>
    <row r="16" spans="1:7" ht="15" customHeight="1" x14ac:dyDescent="0.35">
      <c r="A16" s="88" t="s">
        <v>85</v>
      </c>
      <c r="B16" s="89">
        <v>96.3</v>
      </c>
      <c r="C16" s="89">
        <v>3027.98</v>
      </c>
      <c r="D16" s="88" t="s">
        <v>71</v>
      </c>
      <c r="E16" s="88" t="s">
        <v>22</v>
      </c>
      <c r="F16" s="89">
        <v>4.5674999999999999</v>
      </c>
      <c r="G16" s="89">
        <v>8.0157000000000007</v>
      </c>
    </row>
    <row r="17" spans="1:7" ht="15" customHeight="1" x14ac:dyDescent="0.35">
      <c r="A17" s="86" t="s">
        <v>86</v>
      </c>
      <c r="B17" s="87">
        <v>2.17</v>
      </c>
      <c r="C17" s="87">
        <v>18.86</v>
      </c>
      <c r="D17" s="86" t="s">
        <v>72</v>
      </c>
      <c r="E17" s="86" t="s">
        <v>22</v>
      </c>
      <c r="F17" s="87">
        <v>0.77470000000000006</v>
      </c>
      <c r="G17" s="87">
        <v>2.9369999999999998</v>
      </c>
    </row>
    <row r="18" spans="1:7" ht="15" customHeight="1" x14ac:dyDescent="0.35">
      <c r="A18" s="88" t="s">
        <v>87</v>
      </c>
      <c r="B18" s="89">
        <v>70.69</v>
      </c>
      <c r="C18" s="89">
        <v>54.56</v>
      </c>
      <c r="D18" s="88" t="s">
        <v>72</v>
      </c>
      <c r="E18" s="88" t="s">
        <v>22</v>
      </c>
      <c r="F18" s="89">
        <v>4.2583000000000002</v>
      </c>
      <c r="G18" s="89">
        <v>3.9992999999999999</v>
      </c>
    </row>
    <row r="19" spans="1:7" ht="15" customHeight="1" x14ac:dyDescent="0.35">
      <c r="A19" s="86" t="s">
        <v>88</v>
      </c>
      <c r="B19" s="87">
        <v>48.5</v>
      </c>
      <c r="C19" s="87">
        <v>347.38</v>
      </c>
      <c r="D19" s="86" t="s">
        <v>72</v>
      </c>
      <c r="E19" s="86" t="s">
        <v>22</v>
      </c>
      <c r="F19" s="87">
        <v>3.8816000000000002</v>
      </c>
      <c r="G19" s="87">
        <v>5.8503999999999996</v>
      </c>
    </row>
    <row r="20" spans="1:7" ht="15" customHeight="1" x14ac:dyDescent="0.35">
      <c r="A20" s="88" t="s">
        <v>89</v>
      </c>
      <c r="B20" s="89">
        <v>4.66</v>
      </c>
      <c r="C20" s="89">
        <v>13152.05</v>
      </c>
      <c r="D20" s="88" t="s">
        <v>71</v>
      </c>
      <c r="E20" s="88" t="s">
        <v>20</v>
      </c>
      <c r="F20" s="89">
        <v>1.5389999999999999</v>
      </c>
      <c r="G20" s="89">
        <v>9.4842999999999993</v>
      </c>
    </row>
    <row r="21" spans="1:7" ht="15" customHeight="1" x14ac:dyDescent="0.35">
      <c r="A21" s="86" t="s">
        <v>90</v>
      </c>
      <c r="B21" s="87">
        <v>32.619999999999997</v>
      </c>
      <c r="C21" s="87">
        <v>668.63</v>
      </c>
      <c r="D21" s="86" t="s">
        <v>71</v>
      </c>
      <c r="E21" s="86" t="s">
        <v>22</v>
      </c>
      <c r="F21" s="87">
        <v>3.4849000000000001</v>
      </c>
      <c r="G21" s="87">
        <v>6.5052000000000003</v>
      </c>
    </row>
    <row r="22" spans="1:7" ht="15" customHeight="1" x14ac:dyDescent="0.35">
      <c r="A22" s="88" t="s">
        <v>91</v>
      </c>
      <c r="B22" s="89">
        <v>12.34</v>
      </c>
      <c r="C22" s="89">
        <v>13152.05</v>
      </c>
      <c r="D22" s="88" t="s">
        <v>71</v>
      </c>
      <c r="E22" s="88" t="s">
        <v>20</v>
      </c>
      <c r="F22" s="89">
        <v>2.5127999999999999</v>
      </c>
      <c r="G22" s="89">
        <v>9.4842999999999993</v>
      </c>
    </row>
    <row r="23" spans="1:7" ht="15" customHeight="1" x14ac:dyDescent="0.35">
      <c r="A23" s="86" t="s">
        <v>92</v>
      </c>
      <c r="B23" s="87">
        <v>6.96</v>
      </c>
      <c r="C23" s="87">
        <v>13152.05</v>
      </c>
      <c r="D23" s="86" t="s">
        <v>71</v>
      </c>
      <c r="E23" s="86" t="s">
        <v>20</v>
      </c>
      <c r="F23" s="87">
        <v>1.9401999999999999</v>
      </c>
      <c r="G23" s="87">
        <v>9.4842999999999993</v>
      </c>
    </row>
    <row r="24" spans="1:7" ht="15" customHeight="1" x14ac:dyDescent="0.35">
      <c r="A24" s="88" t="s">
        <v>93</v>
      </c>
      <c r="B24" s="89">
        <v>24.15</v>
      </c>
      <c r="C24" s="89">
        <v>3.35</v>
      </c>
      <c r="D24" s="88" t="s">
        <v>72</v>
      </c>
      <c r="E24" s="88" t="s">
        <v>22</v>
      </c>
      <c r="F24" s="89">
        <v>3.1842999999999999</v>
      </c>
      <c r="G24" s="89">
        <v>1.2090000000000001</v>
      </c>
    </row>
    <row r="25" spans="1:7" ht="15" customHeight="1" x14ac:dyDescent="0.35">
      <c r="A25" s="86" t="s">
        <v>94</v>
      </c>
      <c r="B25" s="87">
        <v>52.74</v>
      </c>
      <c r="C25" s="87">
        <v>68.47</v>
      </c>
      <c r="D25" s="86" t="s">
        <v>72</v>
      </c>
      <c r="E25" s="86" t="s">
        <v>22</v>
      </c>
      <c r="F25" s="87">
        <v>3.9653999999999998</v>
      </c>
      <c r="G25" s="87">
        <v>4.2263999999999999</v>
      </c>
    </row>
    <row r="26" spans="1:7" ht="15" customHeight="1" x14ac:dyDescent="0.35">
      <c r="A26" s="88" t="s">
        <v>95</v>
      </c>
      <c r="B26" s="89">
        <v>2.17</v>
      </c>
      <c r="C26" s="89">
        <v>1034.23</v>
      </c>
      <c r="D26" s="88" t="s">
        <v>72</v>
      </c>
      <c r="E26" s="88" t="s">
        <v>20</v>
      </c>
      <c r="F26" s="89">
        <v>0.77470000000000006</v>
      </c>
      <c r="G26" s="89">
        <v>6.9413999999999998</v>
      </c>
    </row>
    <row r="27" spans="1:7" ht="15" customHeight="1" x14ac:dyDescent="0.35">
      <c r="A27" s="86" t="s">
        <v>96</v>
      </c>
      <c r="B27" s="87">
        <v>1.1200000000000001</v>
      </c>
      <c r="C27" s="87">
        <v>338.16</v>
      </c>
      <c r="D27" s="86" t="s">
        <v>71</v>
      </c>
      <c r="E27" s="86" t="s">
        <v>20</v>
      </c>
      <c r="F27" s="87">
        <v>0.1133</v>
      </c>
      <c r="G27" s="87">
        <v>5.8235000000000001</v>
      </c>
    </row>
    <row r="28" spans="1:7" ht="15" customHeight="1" x14ac:dyDescent="0.35">
      <c r="A28" s="88" t="s">
        <v>97</v>
      </c>
      <c r="B28" s="89">
        <v>11.24</v>
      </c>
      <c r="C28" s="89">
        <v>642.02</v>
      </c>
      <c r="D28" s="88" t="s">
        <v>71</v>
      </c>
      <c r="E28" s="88" t="s">
        <v>28</v>
      </c>
      <c r="F28" s="89">
        <v>2.4195000000000002</v>
      </c>
      <c r="G28" s="89">
        <v>6.4645999999999999</v>
      </c>
    </row>
    <row r="29" spans="1:7" ht="15" customHeight="1" x14ac:dyDescent="0.35">
      <c r="A29" s="86" t="s">
        <v>98</v>
      </c>
      <c r="B29" s="87">
        <v>16.309999999999999</v>
      </c>
      <c r="C29" s="87">
        <v>17.239999999999998</v>
      </c>
      <c r="D29" s="86" t="s">
        <v>72</v>
      </c>
      <c r="E29" s="86" t="s">
        <v>22</v>
      </c>
      <c r="F29" s="87">
        <v>2.7917999999999998</v>
      </c>
      <c r="G29" s="87">
        <v>2.8472</v>
      </c>
    </row>
    <row r="30" spans="1:7" ht="15" customHeight="1" x14ac:dyDescent="0.35">
      <c r="A30" s="88" t="s">
        <v>99</v>
      </c>
      <c r="B30" s="89">
        <v>46.56</v>
      </c>
      <c r="C30" s="89">
        <v>7.78</v>
      </c>
      <c r="D30" s="88" t="s">
        <v>72</v>
      </c>
      <c r="E30" s="88" t="s">
        <v>22</v>
      </c>
      <c r="F30" s="89">
        <v>3.8407</v>
      </c>
      <c r="G30" s="89">
        <v>2.0516000000000001</v>
      </c>
    </row>
    <row r="31" spans="1:7" ht="15" customHeight="1" x14ac:dyDescent="0.35">
      <c r="A31" s="86" t="s">
        <v>100</v>
      </c>
      <c r="B31" s="87">
        <v>12.05</v>
      </c>
      <c r="C31" s="87">
        <v>5434.18</v>
      </c>
      <c r="D31" s="86" t="s">
        <v>71</v>
      </c>
      <c r="E31" s="86" t="s">
        <v>28</v>
      </c>
      <c r="F31" s="87">
        <v>2.4891000000000001</v>
      </c>
      <c r="G31" s="87">
        <v>8.6005000000000003</v>
      </c>
    </row>
    <row r="32" spans="1:7" ht="15" customHeight="1" x14ac:dyDescent="0.35">
      <c r="A32" s="88" t="s">
        <v>101</v>
      </c>
      <c r="B32" s="89">
        <v>2.95</v>
      </c>
      <c r="C32" s="89">
        <v>731.02</v>
      </c>
      <c r="D32" s="88" t="s">
        <v>72</v>
      </c>
      <c r="E32" s="88" t="s">
        <v>24</v>
      </c>
      <c r="F32" s="89">
        <v>1.0818000000000001</v>
      </c>
      <c r="G32" s="89">
        <v>6.5944000000000003</v>
      </c>
    </row>
    <row r="33" spans="1:7" ht="15" customHeight="1" x14ac:dyDescent="0.35">
      <c r="A33" s="86" t="s">
        <v>102</v>
      </c>
      <c r="B33" s="87">
        <v>39.33</v>
      </c>
      <c r="C33" s="87">
        <v>145.66</v>
      </c>
      <c r="D33" s="86" t="s">
        <v>72</v>
      </c>
      <c r="E33" s="86" t="s">
        <v>22</v>
      </c>
      <c r="F33" s="87">
        <v>3.6720000000000002</v>
      </c>
      <c r="G33" s="87">
        <v>4.9813000000000001</v>
      </c>
    </row>
    <row r="34" spans="1:7" ht="15" customHeight="1" x14ac:dyDescent="0.35">
      <c r="A34" s="88" t="s">
        <v>103</v>
      </c>
      <c r="B34" s="89">
        <v>48.03</v>
      </c>
      <c r="C34" s="89">
        <v>875.95</v>
      </c>
      <c r="D34" s="88" t="s">
        <v>71</v>
      </c>
      <c r="E34" s="88" t="s">
        <v>28</v>
      </c>
      <c r="F34" s="89">
        <v>3.8717999999999999</v>
      </c>
      <c r="G34" s="89">
        <v>6.7752999999999997</v>
      </c>
    </row>
    <row r="35" spans="1:7" ht="15" customHeight="1" x14ac:dyDescent="0.35">
      <c r="A35" s="86" t="s">
        <v>104</v>
      </c>
      <c r="B35" s="87">
        <v>34.200000000000003</v>
      </c>
      <c r="C35" s="87">
        <v>69.959999999999994</v>
      </c>
      <c r="D35" s="86" t="s">
        <v>71</v>
      </c>
      <c r="E35" s="86" t="s">
        <v>20</v>
      </c>
      <c r="F35" s="87">
        <v>3.5322</v>
      </c>
      <c r="G35" s="87">
        <v>4.2478999999999996</v>
      </c>
    </row>
    <row r="36" spans="1:7" ht="15" customHeight="1" x14ac:dyDescent="0.35">
      <c r="A36" s="88" t="s">
        <v>105</v>
      </c>
      <c r="B36" s="89">
        <v>48.03</v>
      </c>
      <c r="C36" s="89">
        <v>875.95</v>
      </c>
      <c r="D36" s="88" t="s">
        <v>71</v>
      </c>
      <c r="E36" s="88" t="s">
        <v>28</v>
      </c>
      <c r="F36" s="89">
        <v>3.8717999999999999</v>
      </c>
      <c r="G36" s="89">
        <v>6.7752999999999997</v>
      </c>
    </row>
    <row r="37" spans="1:7" ht="15" customHeight="1" x14ac:dyDescent="0.35">
      <c r="A37" s="86" t="s">
        <v>106</v>
      </c>
      <c r="B37" s="87">
        <v>48.03</v>
      </c>
      <c r="C37" s="87">
        <v>875.95</v>
      </c>
      <c r="D37" s="86" t="s">
        <v>72</v>
      </c>
      <c r="E37" s="86" t="s">
        <v>28</v>
      </c>
      <c r="F37" s="87">
        <v>3.8717999999999999</v>
      </c>
      <c r="G37" s="87">
        <v>6.7752999999999997</v>
      </c>
    </row>
    <row r="38" spans="1:7" ht="15" customHeight="1" x14ac:dyDescent="0.35">
      <c r="A38" s="88" t="s">
        <v>107</v>
      </c>
      <c r="B38" s="89">
        <v>50.14</v>
      </c>
      <c r="C38" s="89">
        <v>49.47</v>
      </c>
      <c r="D38" s="88" t="s">
        <v>72</v>
      </c>
      <c r="E38" s="88" t="s">
        <v>22</v>
      </c>
      <c r="F38" s="89">
        <v>3.9148000000000001</v>
      </c>
      <c r="G38" s="89">
        <v>3.9014000000000002</v>
      </c>
    </row>
    <row r="39" spans="1:7" ht="15" customHeight="1" x14ac:dyDescent="0.35">
      <c r="A39" s="86" t="s">
        <v>108</v>
      </c>
      <c r="B39" s="87">
        <v>20.87</v>
      </c>
      <c r="C39" s="87">
        <v>875.95</v>
      </c>
      <c r="D39" s="86" t="s">
        <v>71</v>
      </c>
      <c r="E39" s="86" t="s">
        <v>28</v>
      </c>
      <c r="F39" s="87">
        <v>3.0383</v>
      </c>
      <c r="G39" s="87">
        <v>6.7752999999999997</v>
      </c>
    </row>
    <row r="40" spans="1:7" ht="15" customHeight="1" x14ac:dyDescent="0.35">
      <c r="A40" s="88" t="s">
        <v>109</v>
      </c>
      <c r="B40" s="89">
        <v>48.03</v>
      </c>
      <c r="C40" s="89">
        <v>875.95</v>
      </c>
      <c r="D40" s="88" t="s">
        <v>71</v>
      </c>
      <c r="E40" s="88" t="s">
        <v>28</v>
      </c>
      <c r="F40" s="89">
        <v>3.8717999999999999</v>
      </c>
      <c r="G40" s="89">
        <v>6.7752999999999997</v>
      </c>
    </row>
    <row r="41" spans="1:7" ht="15" customHeight="1" x14ac:dyDescent="0.35">
      <c r="A41" s="86" t="s">
        <v>110</v>
      </c>
      <c r="B41" s="87">
        <v>3.17</v>
      </c>
      <c r="C41" s="87">
        <v>354.9</v>
      </c>
      <c r="D41" s="86" t="s">
        <v>72</v>
      </c>
      <c r="E41" s="86" t="s">
        <v>22</v>
      </c>
      <c r="F41" s="87">
        <v>1.1536999999999999</v>
      </c>
      <c r="G41" s="87">
        <v>5.8718000000000004</v>
      </c>
    </row>
    <row r="42" spans="1:7" ht="15" customHeight="1" x14ac:dyDescent="0.35">
      <c r="A42" s="88" t="s">
        <v>111</v>
      </c>
      <c r="B42" s="89">
        <v>25.92</v>
      </c>
      <c r="C42" s="89">
        <v>51.44</v>
      </c>
      <c r="D42" s="88" t="s">
        <v>72</v>
      </c>
      <c r="E42" s="88" t="s">
        <v>22</v>
      </c>
      <c r="F42" s="89">
        <v>3.2549999999999999</v>
      </c>
      <c r="G42" s="89">
        <v>3.9403999999999999</v>
      </c>
    </row>
    <row r="43" spans="1:7" ht="15" customHeight="1" x14ac:dyDescent="0.35">
      <c r="A43" s="86" t="s">
        <v>112</v>
      </c>
      <c r="B43" s="87">
        <v>36.950000000000003</v>
      </c>
      <c r="C43" s="87">
        <v>875.95</v>
      </c>
      <c r="D43" s="86" t="s">
        <v>72</v>
      </c>
      <c r="E43" s="86" t="s">
        <v>28</v>
      </c>
      <c r="F43" s="87">
        <v>3.6095999999999999</v>
      </c>
      <c r="G43" s="87">
        <v>6.7752999999999997</v>
      </c>
    </row>
    <row r="44" spans="1:7" ht="15" customHeight="1" x14ac:dyDescent="0.35">
      <c r="A44" s="88" t="s">
        <v>113</v>
      </c>
      <c r="B44" s="89">
        <v>29.84</v>
      </c>
      <c r="C44" s="89">
        <v>875.95</v>
      </c>
      <c r="D44" s="88" t="s">
        <v>71</v>
      </c>
      <c r="E44" s="88" t="s">
        <v>28</v>
      </c>
      <c r="F44" s="89">
        <v>3.3957999999999999</v>
      </c>
      <c r="G44" s="89">
        <v>6.7752999999999997</v>
      </c>
    </row>
    <row r="45" spans="1:7" ht="15" customHeight="1" x14ac:dyDescent="0.35">
      <c r="A45" s="86" t="s">
        <v>114</v>
      </c>
      <c r="B45" s="87">
        <v>32.200000000000003</v>
      </c>
      <c r="C45" s="87">
        <v>731.02</v>
      </c>
      <c r="D45" s="86" t="s">
        <v>72</v>
      </c>
      <c r="E45" s="86" t="s">
        <v>28</v>
      </c>
      <c r="F45" s="87">
        <v>3.472</v>
      </c>
      <c r="G45" s="87">
        <v>6.5944000000000003</v>
      </c>
    </row>
    <row r="46" spans="1:7" ht="15" customHeight="1" x14ac:dyDescent="0.35">
      <c r="A46" s="88" t="s">
        <v>115</v>
      </c>
      <c r="B46" s="89">
        <v>15.39</v>
      </c>
      <c r="C46" s="89">
        <v>5434.18</v>
      </c>
      <c r="D46" s="88" t="s">
        <v>71</v>
      </c>
      <c r="E46" s="88" t="s">
        <v>28</v>
      </c>
      <c r="F46" s="89">
        <v>2.7336999999999998</v>
      </c>
      <c r="G46" s="89">
        <v>8.6005000000000003</v>
      </c>
    </row>
    <row r="47" spans="1:7" ht="15" customHeight="1" x14ac:dyDescent="0.35">
      <c r="A47" s="86" t="s">
        <v>116</v>
      </c>
      <c r="B47" s="87">
        <v>1.08</v>
      </c>
      <c r="C47" s="87">
        <v>1034.23</v>
      </c>
      <c r="D47" s="86" t="s">
        <v>71</v>
      </c>
      <c r="E47" s="86" t="s">
        <v>28</v>
      </c>
      <c r="F47" s="87">
        <v>7.6999999999999999E-2</v>
      </c>
      <c r="G47" s="87">
        <v>6.9413999999999998</v>
      </c>
    </row>
    <row r="48" spans="1:7" ht="15" customHeight="1" x14ac:dyDescent="0.35">
      <c r="A48" s="88" t="s">
        <v>117</v>
      </c>
      <c r="B48" s="89">
        <v>48.03</v>
      </c>
      <c r="C48" s="89">
        <v>875.95</v>
      </c>
      <c r="D48" s="88" t="s">
        <v>71</v>
      </c>
      <c r="E48" s="88" t="s">
        <v>28</v>
      </c>
      <c r="F48" s="89">
        <v>3.8717999999999999</v>
      </c>
      <c r="G48" s="89">
        <v>6.7752999999999997</v>
      </c>
    </row>
    <row r="49" spans="1:7" ht="15" customHeight="1" x14ac:dyDescent="0.35">
      <c r="A49" s="86" t="s">
        <v>118</v>
      </c>
      <c r="B49" s="87">
        <v>8.7200000000000006</v>
      </c>
      <c r="C49" s="87">
        <v>13152.05</v>
      </c>
      <c r="D49" s="86" t="s">
        <v>71</v>
      </c>
      <c r="E49" s="86" t="s">
        <v>20</v>
      </c>
      <c r="F49" s="87">
        <v>2.1656</v>
      </c>
      <c r="G49" s="87">
        <v>9.4842999999999993</v>
      </c>
    </row>
    <row r="50" spans="1:7" ht="15" customHeight="1" x14ac:dyDescent="0.35">
      <c r="A50" s="88" t="s">
        <v>119</v>
      </c>
      <c r="B50" s="89">
        <v>8.77</v>
      </c>
      <c r="C50" s="89">
        <v>13152.05</v>
      </c>
      <c r="D50" s="88" t="s">
        <v>71</v>
      </c>
      <c r="E50" s="88" t="s">
        <v>20</v>
      </c>
      <c r="F50" s="89">
        <v>2.1713</v>
      </c>
      <c r="G50" s="89">
        <v>9.4842999999999993</v>
      </c>
    </row>
    <row r="51" spans="1:7" ht="15" customHeight="1" x14ac:dyDescent="0.35">
      <c r="A51" s="86" t="s">
        <v>120</v>
      </c>
      <c r="B51" s="87">
        <v>3.77</v>
      </c>
      <c r="C51" s="87">
        <v>64.05</v>
      </c>
      <c r="D51" s="86" t="s">
        <v>72</v>
      </c>
      <c r="E51" s="86" t="s">
        <v>20</v>
      </c>
      <c r="F51" s="87">
        <v>1.3270999999999999</v>
      </c>
      <c r="G51" s="87">
        <v>4.1597</v>
      </c>
    </row>
    <row r="52" spans="1:7" ht="15" customHeight="1" x14ac:dyDescent="0.35">
      <c r="A52" s="88" t="s">
        <v>121</v>
      </c>
      <c r="B52" s="89">
        <v>19.12</v>
      </c>
      <c r="C52" s="89">
        <v>14.88</v>
      </c>
      <c r="D52" s="88" t="s">
        <v>72</v>
      </c>
      <c r="E52" s="88" t="s">
        <v>22</v>
      </c>
      <c r="F52" s="89">
        <v>2.9506999999999999</v>
      </c>
      <c r="G52" s="89">
        <v>2.7</v>
      </c>
    </row>
    <row r="53" spans="1:7" ht="15" customHeight="1" x14ac:dyDescent="0.35">
      <c r="A53" s="86" t="s">
        <v>122</v>
      </c>
      <c r="B53" s="87">
        <v>8.93</v>
      </c>
      <c r="C53" s="87">
        <v>382.98</v>
      </c>
      <c r="D53" s="86" t="s">
        <v>72</v>
      </c>
      <c r="E53" s="86" t="s">
        <v>17</v>
      </c>
      <c r="F53" s="87">
        <v>2.1894</v>
      </c>
      <c r="G53" s="87">
        <v>5.9480000000000004</v>
      </c>
    </row>
    <row r="54" spans="1:7" ht="15" customHeight="1" x14ac:dyDescent="0.35">
      <c r="A54" s="88" t="s">
        <v>123</v>
      </c>
      <c r="B54" s="89">
        <v>16.309999999999999</v>
      </c>
      <c r="C54" s="89">
        <v>271.61</v>
      </c>
      <c r="D54" s="88" t="s">
        <v>72</v>
      </c>
      <c r="E54" s="88" t="s">
        <v>22</v>
      </c>
      <c r="F54" s="89">
        <v>2.7917999999999998</v>
      </c>
      <c r="G54" s="89">
        <v>5.6044</v>
      </c>
    </row>
    <row r="55" spans="1:7" ht="15" customHeight="1" x14ac:dyDescent="0.35">
      <c r="A55" s="86" t="s">
        <v>124</v>
      </c>
      <c r="B55" s="87">
        <v>2.38</v>
      </c>
      <c r="C55" s="87">
        <v>731.02</v>
      </c>
      <c r="D55" s="86" t="s">
        <v>72</v>
      </c>
      <c r="E55" s="86" t="s">
        <v>28</v>
      </c>
      <c r="F55" s="87">
        <v>0.86709999999999998</v>
      </c>
      <c r="G55" s="87">
        <v>6.5944000000000003</v>
      </c>
    </row>
    <row r="56" spans="1:7" ht="15" customHeight="1" x14ac:dyDescent="0.35">
      <c r="A56" s="88" t="s">
        <v>125</v>
      </c>
      <c r="B56" s="89">
        <v>93.81</v>
      </c>
      <c r="C56" s="89">
        <v>43.15</v>
      </c>
      <c r="D56" s="88" t="s">
        <v>71</v>
      </c>
      <c r="E56" s="88" t="s">
        <v>22</v>
      </c>
      <c r="F56" s="89">
        <v>4.5412999999999997</v>
      </c>
      <c r="G56" s="89">
        <v>3.7646999999999999</v>
      </c>
    </row>
    <row r="57" spans="1:7" ht="15" customHeight="1" x14ac:dyDescent="0.35">
      <c r="A57" s="86" t="s">
        <v>126</v>
      </c>
      <c r="B57" s="87">
        <v>17.25</v>
      </c>
      <c r="C57" s="87">
        <v>731.02</v>
      </c>
      <c r="D57" s="86" t="s">
        <v>72</v>
      </c>
      <c r="E57" s="86" t="s">
        <v>28</v>
      </c>
      <c r="F57" s="87">
        <v>2.8477999999999999</v>
      </c>
      <c r="G57" s="87">
        <v>6.5944000000000003</v>
      </c>
    </row>
    <row r="58" spans="1:7" ht="15" customHeight="1" x14ac:dyDescent="0.35">
      <c r="A58" s="88" t="s">
        <v>127</v>
      </c>
      <c r="B58" s="89">
        <v>4.5999999999999996</v>
      </c>
      <c r="C58" s="89">
        <v>13152.05</v>
      </c>
      <c r="D58" s="88" t="s">
        <v>71</v>
      </c>
      <c r="E58" s="88" t="s">
        <v>20</v>
      </c>
      <c r="F58" s="89">
        <v>1.5261</v>
      </c>
      <c r="G58" s="89">
        <v>9.4842999999999993</v>
      </c>
    </row>
    <row r="59" spans="1:7" ht="15" customHeight="1" x14ac:dyDescent="0.35">
      <c r="A59" s="86" t="s">
        <v>128</v>
      </c>
      <c r="B59" s="87">
        <v>41.95</v>
      </c>
      <c r="C59" s="87">
        <v>1034.23</v>
      </c>
      <c r="D59" s="86" t="s">
        <v>71</v>
      </c>
      <c r="E59" s="86" t="s">
        <v>28</v>
      </c>
      <c r="F59" s="87">
        <v>3.7364999999999999</v>
      </c>
      <c r="G59" s="87">
        <v>6.9413999999999998</v>
      </c>
    </row>
    <row r="60" spans="1:7" ht="15" customHeight="1" x14ac:dyDescent="0.35">
      <c r="A60" s="86" t="s">
        <v>130</v>
      </c>
      <c r="B60" s="87">
        <v>22.28</v>
      </c>
      <c r="C60" s="87">
        <v>407.91</v>
      </c>
      <c r="D60" s="86" t="s">
        <v>72</v>
      </c>
      <c r="E60" s="86" t="s">
        <v>22</v>
      </c>
      <c r="F60" s="87">
        <v>3.1036999999999999</v>
      </c>
      <c r="G60" s="87">
        <v>6.0110000000000001</v>
      </c>
    </row>
    <row r="61" spans="1:7" ht="15" customHeight="1" x14ac:dyDescent="0.35">
      <c r="A61" s="88" t="s">
        <v>131</v>
      </c>
      <c r="B61" s="89">
        <v>155.87</v>
      </c>
      <c r="C61" s="89">
        <v>35.49</v>
      </c>
      <c r="D61" s="88" t="s">
        <v>72</v>
      </c>
      <c r="E61" s="88" t="s">
        <v>24</v>
      </c>
      <c r="F61" s="89">
        <v>5.0490000000000004</v>
      </c>
      <c r="G61" s="89">
        <v>3.5693000000000001</v>
      </c>
    </row>
    <row r="62" spans="1:7" ht="15" customHeight="1" x14ac:dyDescent="0.35">
      <c r="A62" s="86" t="s">
        <v>132</v>
      </c>
      <c r="B62" s="87">
        <v>22.2</v>
      </c>
      <c r="C62" s="87">
        <v>5434.18</v>
      </c>
      <c r="D62" s="86" t="s">
        <v>71</v>
      </c>
      <c r="E62" s="86" t="s">
        <v>26</v>
      </c>
      <c r="F62" s="87">
        <v>3.1000999999999999</v>
      </c>
      <c r="G62" s="87">
        <v>8.6005000000000003</v>
      </c>
    </row>
    <row r="63" spans="1:7" ht="15" customHeight="1" x14ac:dyDescent="0.35">
      <c r="A63" s="88" t="s">
        <v>133</v>
      </c>
      <c r="B63" s="89">
        <v>15.53</v>
      </c>
      <c r="C63" s="89">
        <v>731.02</v>
      </c>
      <c r="D63" s="88" t="s">
        <v>72</v>
      </c>
      <c r="E63" s="88" t="s">
        <v>24</v>
      </c>
      <c r="F63" s="89">
        <v>2.7427999999999999</v>
      </c>
      <c r="G63" s="89">
        <v>6.5944000000000003</v>
      </c>
    </row>
    <row r="64" spans="1:7" ht="15" customHeight="1" x14ac:dyDescent="0.35">
      <c r="A64" s="86" t="s">
        <v>134</v>
      </c>
      <c r="B64" s="87">
        <v>13.86</v>
      </c>
      <c r="C64" s="87">
        <v>731.02</v>
      </c>
      <c r="D64" s="86" t="s">
        <v>72</v>
      </c>
      <c r="E64" s="86" t="s">
        <v>24</v>
      </c>
      <c r="F64" s="87">
        <v>2.629</v>
      </c>
      <c r="G64" s="87">
        <v>6.5944000000000003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565C0"/>
  </sheetPr>
  <dimension ref="A1:J11"/>
  <sheetViews>
    <sheetView showGridLines="0" zoomScaleNormal="100" workbookViewId="0">
      <selection activeCell="J10" sqref="J10"/>
    </sheetView>
  </sheetViews>
  <sheetFormatPr defaultColWidth="8.6328125" defaultRowHeight="14.5" x14ac:dyDescent="0.35"/>
  <cols>
    <col min="1" max="8" width="16" style="13" customWidth="1"/>
  </cols>
  <sheetData>
    <row r="1" spans="1:10" ht="27.75" customHeight="1" x14ac:dyDescent="0.35">
      <c r="A1" s="120" t="s">
        <v>207</v>
      </c>
      <c r="B1" s="120"/>
      <c r="C1" s="120"/>
      <c r="D1" s="120"/>
      <c r="E1" s="120"/>
      <c r="F1" s="120"/>
      <c r="G1" s="120"/>
      <c r="H1" s="120"/>
      <c r="I1" s="120"/>
      <c r="J1" s="120"/>
    </row>
    <row r="2" spans="1:10" ht="15" customHeight="1" x14ac:dyDescent="0.35">
      <c r="A2" s="46" t="s">
        <v>34</v>
      </c>
      <c r="B2" s="46" t="s">
        <v>208</v>
      </c>
      <c r="C2" s="46" t="s">
        <v>147</v>
      </c>
      <c r="D2" s="46" t="s">
        <v>148</v>
      </c>
      <c r="E2" s="46" t="s">
        <v>209</v>
      </c>
      <c r="F2" s="46" t="s">
        <v>210</v>
      </c>
      <c r="G2" s="46" t="s">
        <v>211</v>
      </c>
      <c r="H2" s="46" t="s">
        <v>212</v>
      </c>
    </row>
    <row r="3" spans="1:10" ht="15" customHeight="1" x14ac:dyDescent="0.35">
      <c r="A3" s="13">
        <v>2015</v>
      </c>
      <c r="B3" s="90">
        <v>15.65</v>
      </c>
      <c r="C3" s="90">
        <v>21.01</v>
      </c>
      <c r="D3" s="90">
        <v>10.59</v>
      </c>
      <c r="E3" s="90">
        <v>20.7</v>
      </c>
      <c r="F3" s="90">
        <v>16.05</v>
      </c>
      <c r="G3" s="90">
        <v>4.5199999999999996</v>
      </c>
      <c r="H3" s="90"/>
    </row>
    <row r="4" spans="1:10" ht="15" customHeight="1" x14ac:dyDescent="0.35">
      <c r="A4" s="13">
        <v>2016</v>
      </c>
      <c r="B4" s="91">
        <v>16.11</v>
      </c>
      <c r="C4" s="91">
        <v>24.51</v>
      </c>
      <c r="D4" s="91">
        <v>8.2100000000000009</v>
      </c>
      <c r="E4" s="91">
        <v>25.22</v>
      </c>
      <c r="F4" s="91">
        <v>17.079999999999998</v>
      </c>
      <c r="G4" s="91">
        <v>4.18</v>
      </c>
      <c r="H4" s="91">
        <v>2.16</v>
      </c>
    </row>
    <row r="5" spans="1:10" ht="15" customHeight="1" x14ac:dyDescent="0.35">
      <c r="A5" s="13">
        <v>2017</v>
      </c>
      <c r="B5" s="90">
        <v>15.09</v>
      </c>
      <c r="C5" s="90">
        <v>20.73</v>
      </c>
      <c r="D5" s="90">
        <v>8.86</v>
      </c>
      <c r="E5" s="90">
        <v>23.93</v>
      </c>
      <c r="F5" s="90">
        <v>18.8</v>
      </c>
      <c r="G5" s="90">
        <v>4.2699999999999996</v>
      </c>
      <c r="H5" s="90">
        <v>6.22</v>
      </c>
    </row>
    <row r="6" spans="1:10" ht="15" customHeight="1" x14ac:dyDescent="0.35">
      <c r="A6" s="13">
        <v>2018</v>
      </c>
      <c r="B6" s="91">
        <v>18</v>
      </c>
      <c r="C6" s="91">
        <v>25.15</v>
      </c>
      <c r="D6" s="91">
        <v>9.35</v>
      </c>
      <c r="E6" s="91">
        <v>30.33</v>
      </c>
      <c r="F6" s="91">
        <v>22.18</v>
      </c>
      <c r="G6" s="91">
        <v>5.33</v>
      </c>
      <c r="H6" s="91">
        <v>7.09</v>
      </c>
    </row>
    <row r="7" spans="1:10" ht="15" customHeight="1" x14ac:dyDescent="0.35">
      <c r="A7" s="13">
        <v>2019</v>
      </c>
      <c r="B7" s="90">
        <v>16.920000000000002</v>
      </c>
      <c r="C7" s="90">
        <v>21.82</v>
      </c>
      <c r="D7" s="90">
        <v>9.58</v>
      </c>
      <c r="E7" s="90">
        <v>28.7</v>
      </c>
      <c r="F7" s="90">
        <v>21.15</v>
      </c>
      <c r="G7" s="90">
        <v>4.7300000000000004</v>
      </c>
      <c r="H7" s="90">
        <v>5.98</v>
      </c>
    </row>
    <row r="8" spans="1:10" ht="15" customHeight="1" x14ac:dyDescent="0.35">
      <c r="A8" s="13">
        <v>2020</v>
      </c>
      <c r="B8" s="91">
        <v>16.95</v>
      </c>
      <c r="C8" s="91">
        <v>21.53</v>
      </c>
      <c r="D8" s="91">
        <v>10.3</v>
      </c>
      <c r="E8" s="91">
        <v>29.55</v>
      </c>
      <c r="F8" s="91">
        <v>21.41</v>
      </c>
      <c r="G8" s="91">
        <v>4.8600000000000003</v>
      </c>
      <c r="H8" s="91">
        <v>5.53</v>
      </c>
    </row>
    <row r="9" spans="1:10" ht="15" customHeight="1" x14ac:dyDescent="0.35">
      <c r="A9" s="13">
        <v>2021</v>
      </c>
      <c r="B9" s="90">
        <v>20.83</v>
      </c>
      <c r="C9" s="90">
        <v>24.65</v>
      </c>
      <c r="D9" s="90">
        <v>16.12</v>
      </c>
      <c r="E9" s="90">
        <v>34.67</v>
      </c>
      <c r="F9" s="90">
        <v>28.19</v>
      </c>
      <c r="G9" s="90">
        <v>5.33</v>
      </c>
      <c r="H9" s="90">
        <v>5.68</v>
      </c>
    </row>
    <row r="10" spans="1:10" ht="15" customHeight="1" x14ac:dyDescent="0.35">
      <c r="A10" s="13">
        <v>2022</v>
      </c>
      <c r="B10" s="91">
        <v>28.46</v>
      </c>
      <c r="C10" s="91">
        <v>30.67</v>
      </c>
      <c r="D10" s="91">
        <v>26.03</v>
      </c>
      <c r="E10" s="91">
        <v>42.01</v>
      </c>
      <c r="F10" s="91">
        <v>35.11</v>
      </c>
      <c r="G10" s="91">
        <v>9</v>
      </c>
      <c r="H10" s="91">
        <v>28</v>
      </c>
    </row>
    <row r="11" spans="1:10" ht="15" customHeight="1" x14ac:dyDescent="0.35">
      <c r="A11" s="13">
        <v>2023</v>
      </c>
      <c r="B11" s="90">
        <v>30.86</v>
      </c>
      <c r="C11" s="90">
        <v>32.1</v>
      </c>
      <c r="D11" s="90">
        <v>29.51</v>
      </c>
      <c r="E11" s="90">
        <v>43.93</v>
      </c>
      <c r="F11" s="90">
        <v>37.520000000000003</v>
      </c>
      <c r="G11" s="90">
        <v>8.6999999999999993</v>
      </c>
      <c r="H11" s="90">
        <v>29.03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565C0"/>
  </sheetPr>
  <dimension ref="A1:G513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7" width="22" style="13" customWidth="1"/>
  </cols>
  <sheetData>
    <row r="1" spans="1:7" ht="15" customHeight="1" x14ac:dyDescent="0.35">
      <c r="A1" s="92" t="s">
        <v>33</v>
      </c>
      <c r="B1" s="92" t="s">
        <v>34</v>
      </c>
      <c r="C1" s="92" t="s">
        <v>35</v>
      </c>
      <c r="D1" s="92" t="s">
        <v>36</v>
      </c>
      <c r="E1" s="92" t="s">
        <v>1</v>
      </c>
      <c r="F1" s="92" t="s">
        <v>213</v>
      </c>
      <c r="G1" s="92" t="s">
        <v>214</v>
      </c>
    </row>
    <row r="2" spans="1:7" ht="15" customHeight="1" x14ac:dyDescent="0.35">
      <c r="A2" s="93" t="s">
        <v>215</v>
      </c>
      <c r="B2" s="94">
        <v>2024</v>
      </c>
      <c r="C2" s="95">
        <v>13.11</v>
      </c>
      <c r="D2" s="94" t="s">
        <v>72</v>
      </c>
      <c r="E2" s="94" t="s">
        <v>22</v>
      </c>
      <c r="F2" s="95">
        <v>12.73</v>
      </c>
      <c r="G2" s="94" t="s">
        <v>216</v>
      </c>
    </row>
    <row r="3" spans="1:7" ht="15" customHeight="1" x14ac:dyDescent="0.35">
      <c r="A3" s="96" t="s">
        <v>70</v>
      </c>
      <c r="B3" s="97">
        <v>2015</v>
      </c>
      <c r="C3" s="42">
        <v>11.89</v>
      </c>
      <c r="D3" s="97" t="s">
        <v>71</v>
      </c>
      <c r="E3" s="97" t="s">
        <v>26</v>
      </c>
      <c r="F3" s="42">
        <v>14.15</v>
      </c>
      <c r="G3" s="97" t="s">
        <v>216</v>
      </c>
    </row>
    <row r="4" spans="1:7" ht="15" customHeight="1" x14ac:dyDescent="0.35">
      <c r="A4" s="93" t="s">
        <v>70</v>
      </c>
      <c r="B4" s="94">
        <v>2016</v>
      </c>
      <c r="C4" s="95">
        <v>15.37</v>
      </c>
      <c r="D4" s="94" t="s">
        <v>71</v>
      </c>
      <c r="E4" s="94" t="s">
        <v>26</v>
      </c>
      <c r="F4" s="95">
        <v>18.079999999999998</v>
      </c>
      <c r="G4" s="94" t="s">
        <v>216</v>
      </c>
    </row>
    <row r="5" spans="1:7" ht="15" customHeight="1" x14ac:dyDescent="0.35">
      <c r="A5" s="96" t="s">
        <v>70</v>
      </c>
      <c r="B5" s="97">
        <v>2017</v>
      </c>
      <c r="C5" s="42">
        <v>15.03</v>
      </c>
      <c r="D5" s="97" t="s">
        <v>72</v>
      </c>
      <c r="E5" s="97" t="s">
        <v>26</v>
      </c>
      <c r="F5" s="42">
        <v>17.28</v>
      </c>
      <c r="G5" s="97" t="s">
        <v>216</v>
      </c>
    </row>
    <row r="6" spans="1:7" ht="15" customHeight="1" x14ac:dyDescent="0.35">
      <c r="A6" s="93" t="s">
        <v>70</v>
      </c>
      <c r="B6" s="94">
        <v>2017</v>
      </c>
      <c r="C6" s="95">
        <v>22.54</v>
      </c>
      <c r="D6" s="94" t="s">
        <v>71</v>
      </c>
      <c r="E6" s="94" t="s">
        <v>26</v>
      </c>
      <c r="F6" s="95">
        <v>25.91</v>
      </c>
      <c r="G6" s="94" t="s">
        <v>216</v>
      </c>
    </row>
    <row r="7" spans="1:7" ht="15" customHeight="1" x14ac:dyDescent="0.35">
      <c r="A7" s="96" t="s">
        <v>70</v>
      </c>
      <c r="B7" s="97">
        <v>2018</v>
      </c>
      <c r="C7" s="42">
        <v>23.25</v>
      </c>
      <c r="D7" s="97" t="s">
        <v>72</v>
      </c>
      <c r="E7" s="97" t="s">
        <v>26</v>
      </c>
      <c r="F7" s="42">
        <v>26.12</v>
      </c>
      <c r="G7" s="97" t="s">
        <v>216</v>
      </c>
    </row>
    <row r="8" spans="1:7" ht="15" customHeight="1" x14ac:dyDescent="0.35">
      <c r="A8" s="93" t="s">
        <v>70</v>
      </c>
      <c r="B8" s="94">
        <v>2018</v>
      </c>
      <c r="C8" s="95">
        <v>23.25</v>
      </c>
      <c r="D8" s="94" t="s">
        <v>71</v>
      </c>
      <c r="E8" s="94" t="s">
        <v>26</v>
      </c>
      <c r="F8" s="95">
        <v>26.12</v>
      </c>
      <c r="G8" s="94" t="s">
        <v>216</v>
      </c>
    </row>
    <row r="9" spans="1:7" ht="15" customHeight="1" x14ac:dyDescent="0.35">
      <c r="A9" s="96" t="s">
        <v>70</v>
      </c>
      <c r="B9" s="97">
        <v>2019</v>
      </c>
      <c r="C9" s="42">
        <v>22.49</v>
      </c>
      <c r="D9" s="97" t="s">
        <v>72</v>
      </c>
      <c r="E9" s="97" t="s">
        <v>26</v>
      </c>
      <c r="F9" s="42">
        <v>24.71</v>
      </c>
      <c r="G9" s="97" t="s">
        <v>216</v>
      </c>
    </row>
    <row r="10" spans="1:7" ht="15" customHeight="1" x14ac:dyDescent="0.35">
      <c r="A10" s="93" t="s">
        <v>70</v>
      </c>
      <c r="B10" s="94">
        <v>2019</v>
      </c>
      <c r="C10" s="95">
        <v>22.49</v>
      </c>
      <c r="D10" s="94" t="s">
        <v>71</v>
      </c>
      <c r="E10" s="94" t="s">
        <v>26</v>
      </c>
      <c r="F10" s="95">
        <v>24.71</v>
      </c>
      <c r="G10" s="94" t="s">
        <v>216</v>
      </c>
    </row>
    <row r="11" spans="1:7" ht="15" customHeight="1" x14ac:dyDescent="0.35">
      <c r="A11" s="96" t="s">
        <v>70</v>
      </c>
      <c r="B11" s="97">
        <v>2020</v>
      </c>
      <c r="C11" s="42">
        <v>21.1</v>
      </c>
      <c r="D11" s="97" t="s">
        <v>71</v>
      </c>
      <c r="E11" s="97" t="s">
        <v>26</v>
      </c>
      <c r="F11" s="42">
        <v>23.19</v>
      </c>
      <c r="G11" s="97" t="s">
        <v>216</v>
      </c>
    </row>
    <row r="12" spans="1:7" ht="15" customHeight="1" x14ac:dyDescent="0.35">
      <c r="A12" s="93" t="s">
        <v>70</v>
      </c>
      <c r="B12" s="94">
        <v>2021</v>
      </c>
      <c r="C12" s="95">
        <v>31.83</v>
      </c>
      <c r="D12" s="94" t="s">
        <v>71</v>
      </c>
      <c r="E12" s="94" t="s">
        <v>26</v>
      </c>
      <c r="F12" s="95">
        <v>33.51</v>
      </c>
      <c r="G12" s="94" t="s">
        <v>216</v>
      </c>
    </row>
    <row r="13" spans="1:7" ht="15" customHeight="1" x14ac:dyDescent="0.35">
      <c r="A13" s="96" t="s">
        <v>70</v>
      </c>
      <c r="B13" s="97">
        <v>2022</v>
      </c>
      <c r="C13" s="42">
        <v>39.96</v>
      </c>
      <c r="D13" s="97" t="s">
        <v>71</v>
      </c>
      <c r="E13" s="97" t="s">
        <v>26</v>
      </c>
      <c r="F13" s="42">
        <v>38.799999999999997</v>
      </c>
      <c r="G13" s="97" t="s">
        <v>216</v>
      </c>
    </row>
    <row r="14" spans="1:7" ht="15" customHeight="1" x14ac:dyDescent="0.35">
      <c r="A14" s="93" t="s">
        <v>70</v>
      </c>
      <c r="B14" s="94">
        <v>2023</v>
      </c>
      <c r="C14" s="95">
        <v>48.03</v>
      </c>
      <c r="D14" s="94" t="s">
        <v>71</v>
      </c>
      <c r="E14" s="94" t="s">
        <v>26</v>
      </c>
      <c r="F14" s="95">
        <v>48.03</v>
      </c>
      <c r="G14" s="94" t="s">
        <v>216</v>
      </c>
    </row>
    <row r="15" spans="1:7" ht="15" customHeight="1" x14ac:dyDescent="0.35">
      <c r="A15" s="96" t="s">
        <v>70</v>
      </c>
      <c r="B15" s="97">
        <v>2024</v>
      </c>
      <c r="C15" s="42">
        <v>58.94</v>
      </c>
      <c r="D15" s="97" t="s">
        <v>71</v>
      </c>
      <c r="E15" s="97" t="s">
        <v>26</v>
      </c>
      <c r="F15" s="42">
        <v>57.22</v>
      </c>
      <c r="G15" s="97" t="s">
        <v>216</v>
      </c>
    </row>
    <row r="16" spans="1:7" ht="15" customHeight="1" x14ac:dyDescent="0.35">
      <c r="A16" s="93" t="s">
        <v>73</v>
      </c>
      <c r="B16" s="94">
        <v>2018</v>
      </c>
      <c r="C16" s="95">
        <v>8.84</v>
      </c>
      <c r="D16" s="94" t="s">
        <v>72</v>
      </c>
      <c r="E16" s="94" t="s">
        <v>24</v>
      </c>
      <c r="F16" s="95">
        <v>9.93</v>
      </c>
      <c r="G16" s="94" t="s">
        <v>216</v>
      </c>
    </row>
    <row r="17" spans="1:7" ht="15" customHeight="1" x14ac:dyDescent="0.35">
      <c r="A17" s="96" t="s">
        <v>73</v>
      </c>
      <c r="B17" s="97">
        <v>2019</v>
      </c>
      <c r="C17" s="42">
        <v>4.49</v>
      </c>
      <c r="D17" s="97" t="s">
        <v>72</v>
      </c>
      <c r="E17" s="97" t="s">
        <v>24</v>
      </c>
      <c r="F17" s="42">
        <v>4.93</v>
      </c>
      <c r="G17" s="97" t="s">
        <v>216</v>
      </c>
    </row>
    <row r="18" spans="1:7" ht="15" customHeight="1" x14ac:dyDescent="0.35">
      <c r="A18" s="93" t="s">
        <v>73</v>
      </c>
      <c r="B18" s="94">
        <v>2020</v>
      </c>
      <c r="C18" s="95">
        <v>4.78</v>
      </c>
      <c r="D18" s="94" t="s">
        <v>72</v>
      </c>
      <c r="E18" s="94" t="s">
        <v>24</v>
      </c>
      <c r="F18" s="95">
        <v>5.25</v>
      </c>
      <c r="G18" s="94" t="s">
        <v>216</v>
      </c>
    </row>
    <row r="19" spans="1:7" ht="15" customHeight="1" x14ac:dyDescent="0.35">
      <c r="A19" s="96" t="s">
        <v>73</v>
      </c>
      <c r="B19" s="97">
        <v>2021</v>
      </c>
      <c r="C19" s="42">
        <v>4.38</v>
      </c>
      <c r="D19" s="97" t="s">
        <v>72</v>
      </c>
      <c r="E19" s="97" t="s">
        <v>24</v>
      </c>
      <c r="F19" s="42">
        <v>4.6100000000000003</v>
      </c>
      <c r="G19" s="97" t="s">
        <v>216</v>
      </c>
    </row>
    <row r="20" spans="1:7" ht="15" customHeight="1" x14ac:dyDescent="0.35">
      <c r="A20" s="93" t="s">
        <v>73</v>
      </c>
      <c r="B20" s="94">
        <v>2022</v>
      </c>
      <c r="C20" s="95">
        <v>5.63</v>
      </c>
      <c r="D20" s="94" t="s">
        <v>72</v>
      </c>
      <c r="E20" s="94" t="s">
        <v>24</v>
      </c>
      <c r="F20" s="95">
        <v>5.47</v>
      </c>
      <c r="G20" s="94" t="s">
        <v>216</v>
      </c>
    </row>
    <row r="21" spans="1:7" ht="15" customHeight="1" x14ac:dyDescent="0.35">
      <c r="A21" s="96" t="s">
        <v>73</v>
      </c>
      <c r="B21" s="97">
        <v>2023</v>
      </c>
      <c r="C21" s="42">
        <v>4.97</v>
      </c>
      <c r="D21" s="97" t="s">
        <v>72</v>
      </c>
      <c r="E21" s="97" t="s">
        <v>24</v>
      </c>
      <c r="F21" s="42">
        <v>4.97</v>
      </c>
      <c r="G21" s="97" t="s">
        <v>216</v>
      </c>
    </row>
    <row r="22" spans="1:7" ht="15" customHeight="1" x14ac:dyDescent="0.35">
      <c r="A22" s="93" t="s">
        <v>73</v>
      </c>
      <c r="B22" s="94">
        <v>2024</v>
      </c>
      <c r="C22" s="95">
        <v>2.77</v>
      </c>
      <c r="D22" s="94" t="s">
        <v>72</v>
      </c>
      <c r="E22" s="94" t="s">
        <v>24</v>
      </c>
      <c r="F22" s="95">
        <v>2.69</v>
      </c>
      <c r="G22" s="94" t="s">
        <v>216</v>
      </c>
    </row>
    <row r="23" spans="1:7" ht="15" customHeight="1" x14ac:dyDescent="0.35">
      <c r="A23" s="96" t="s">
        <v>217</v>
      </c>
      <c r="B23" s="97">
        <v>2024</v>
      </c>
      <c r="C23" s="42">
        <v>21.9</v>
      </c>
      <c r="D23" s="97" t="s">
        <v>71</v>
      </c>
      <c r="E23" s="97" t="s">
        <v>20</v>
      </c>
      <c r="F23" s="42">
        <v>21.26</v>
      </c>
      <c r="G23" s="97" t="s">
        <v>216</v>
      </c>
    </row>
    <row r="24" spans="1:7" ht="15" customHeight="1" x14ac:dyDescent="0.35">
      <c r="A24" s="93" t="s">
        <v>74</v>
      </c>
      <c r="B24" s="94">
        <v>2023</v>
      </c>
      <c r="C24" s="95">
        <v>35.340000000000003</v>
      </c>
      <c r="D24" s="94" t="s">
        <v>71</v>
      </c>
      <c r="E24" s="94" t="s">
        <v>22</v>
      </c>
      <c r="F24" s="95">
        <v>35.340000000000003</v>
      </c>
      <c r="G24" s="94" t="s">
        <v>216</v>
      </c>
    </row>
    <row r="25" spans="1:7" ht="15" customHeight="1" x14ac:dyDescent="0.35">
      <c r="A25" s="96" t="s">
        <v>74</v>
      </c>
      <c r="B25" s="97">
        <v>2024</v>
      </c>
      <c r="C25" s="42">
        <v>48.37</v>
      </c>
      <c r="D25" s="97" t="s">
        <v>71</v>
      </c>
      <c r="E25" s="97" t="s">
        <v>22</v>
      </c>
      <c r="F25" s="42">
        <v>46.96</v>
      </c>
      <c r="G25" s="97" t="s">
        <v>216</v>
      </c>
    </row>
    <row r="26" spans="1:7" ht="15" customHeight="1" x14ac:dyDescent="0.35">
      <c r="A26" s="93" t="s">
        <v>75</v>
      </c>
      <c r="B26" s="94">
        <v>2021</v>
      </c>
      <c r="C26" s="95">
        <v>8.32</v>
      </c>
      <c r="D26" s="94" t="s">
        <v>72</v>
      </c>
      <c r="E26" s="94" t="s">
        <v>24</v>
      </c>
      <c r="F26" s="95">
        <v>8.76</v>
      </c>
      <c r="G26" s="94" t="s">
        <v>216</v>
      </c>
    </row>
    <row r="27" spans="1:7" ht="15" customHeight="1" x14ac:dyDescent="0.35">
      <c r="A27" s="96" t="s">
        <v>76</v>
      </c>
      <c r="B27" s="97">
        <v>2015</v>
      </c>
      <c r="C27" s="42">
        <v>8.2100000000000009</v>
      </c>
      <c r="D27" s="97" t="s">
        <v>71</v>
      </c>
      <c r="E27" s="97" t="s">
        <v>20</v>
      </c>
      <c r="F27" s="42">
        <v>9.77</v>
      </c>
      <c r="G27" s="97" t="s">
        <v>216</v>
      </c>
    </row>
    <row r="28" spans="1:7" ht="15" customHeight="1" x14ac:dyDescent="0.35">
      <c r="A28" s="93" t="s">
        <v>76</v>
      </c>
      <c r="B28" s="94">
        <v>2016</v>
      </c>
      <c r="C28" s="95">
        <v>8.0299999999999994</v>
      </c>
      <c r="D28" s="94" t="s">
        <v>71</v>
      </c>
      <c r="E28" s="94" t="s">
        <v>20</v>
      </c>
      <c r="F28" s="95">
        <v>9.4499999999999993</v>
      </c>
      <c r="G28" s="94" t="s">
        <v>216</v>
      </c>
    </row>
    <row r="29" spans="1:7" ht="15" customHeight="1" x14ac:dyDescent="0.35">
      <c r="A29" s="96" t="s">
        <v>76</v>
      </c>
      <c r="B29" s="97">
        <v>2017</v>
      </c>
      <c r="C29" s="42">
        <v>7.4</v>
      </c>
      <c r="D29" s="97" t="s">
        <v>71</v>
      </c>
      <c r="E29" s="97" t="s">
        <v>20</v>
      </c>
      <c r="F29" s="42">
        <v>8.51</v>
      </c>
      <c r="G29" s="97" t="s">
        <v>216</v>
      </c>
    </row>
    <row r="30" spans="1:7" ht="15" customHeight="1" x14ac:dyDescent="0.35">
      <c r="A30" s="93" t="s">
        <v>76</v>
      </c>
      <c r="B30" s="94">
        <v>2018</v>
      </c>
      <c r="C30" s="95">
        <v>9.44</v>
      </c>
      <c r="D30" s="94" t="s">
        <v>71</v>
      </c>
      <c r="E30" s="94" t="s">
        <v>20</v>
      </c>
      <c r="F30" s="95">
        <v>10.61</v>
      </c>
      <c r="G30" s="94" t="s">
        <v>216</v>
      </c>
    </row>
    <row r="31" spans="1:7" ht="15" customHeight="1" x14ac:dyDescent="0.35">
      <c r="A31" s="96" t="s">
        <v>76</v>
      </c>
      <c r="B31" s="97">
        <v>2019</v>
      </c>
      <c r="C31" s="42">
        <v>10.4</v>
      </c>
      <c r="D31" s="97" t="s">
        <v>71</v>
      </c>
      <c r="E31" s="97" t="s">
        <v>20</v>
      </c>
      <c r="F31" s="42">
        <v>11.43</v>
      </c>
      <c r="G31" s="97" t="s">
        <v>216</v>
      </c>
    </row>
    <row r="32" spans="1:7" ht="15" customHeight="1" x14ac:dyDescent="0.35">
      <c r="A32" s="93" t="s">
        <v>76</v>
      </c>
      <c r="B32" s="94">
        <v>2020</v>
      </c>
      <c r="C32" s="95">
        <v>12.2</v>
      </c>
      <c r="D32" s="94" t="s">
        <v>71</v>
      </c>
      <c r="E32" s="94" t="s">
        <v>20</v>
      </c>
      <c r="F32" s="95">
        <v>13.41</v>
      </c>
      <c r="G32" s="94" t="s">
        <v>216</v>
      </c>
    </row>
    <row r="33" spans="1:7" ht="15" customHeight="1" x14ac:dyDescent="0.35">
      <c r="A33" s="96" t="s">
        <v>76</v>
      </c>
      <c r="B33" s="97">
        <v>2021</v>
      </c>
      <c r="C33" s="42">
        <v>4.32</v>
      </c>
      <c r="D33" s="97" t="s">
        <v>71</v>
      </c>
      <c r="E33" s="97" t="s">
        <v>20</v>
      </c>
      <c r="F33" s="42">
        <v>4.55</v>
      </c>
      <c r="G33" s="97" t="s">
        <v>216</v>
      </c>
    </row>
    <row r="34" spans="1:7" ht="15" customHeight="1" x14ac:dyDescent="0.35">
      <c r="A34" s="93" t="s">
        <v>76</v>
      </c>
      <c r="B34" s="94">
        <v>2022</v>
      </c>
      <c r="C34" s="95">
        <v>6.53</v>
      </c>
      <c r="D34" s="94" t="s">
        <v>71</v>
      </c>
      <c r="E34" s="94" t="s">
        <v>20</v>
      </c>
      <c r="F34" s="95">
        <v>6.34</v>
      </c>
      <c r="G34" s="94" t="s">
        <v>216</v>
      </c>
    </row>
    <row r="35" spans="1:7" ht="15" customHeight="1" x14ac:dyDescent="0.35">
      <c r="A35" s="96" t="s">
        <v>76</v>
      </c>
      <c r="B35" s="97">
        <v>2023</v>
      </c>
      <c r="C35" s="42">
        <v>12.96</v>
      </c>
      <c r="D35" s="97" t="s">
        <v>71</v>
      </c>
      <c r="E35" s="97" t="s">
        <v>20</v>
      </c>
      <c r="F35" s="42">
        <v>12.96</v>
      </c>
      <c r="G35" s="97" t="s">
        <v>216</v>
      </c>
    </row>
    <row r="36" spans="1:7" ht="15" customHeight="1" x14ac:dyDescent="0.35">
      <c r="A36" s="93" t="s">
        <v>76</v>
      </c>
      <c r="B36" s="94">
        <v>2024</v>
      </c>
      <c r="C36" s="95">
        <v>14.51</v>
      </c>
      <c r="D36" s="94" t="s">
        <v>71</v>
      </c>
      <c r="E36" s="94" t="s">
        <v>20</v>
      </c>
      <c r="F36" s="95">
        <v>14.09</v>
      </c>
      <c r="G36" s="94" t="s">
        <v>216</v>
      </c>
    </row>
    <row r="37" spans="1:7" ht="15" customHeight="1" x14ac:dyDescent="0.35">
      <c r="A37" s="96" t="s">
        <v>77</v>
      </c>
      <c r="B37" s="97">
        <v>2015</v>
      </c>
      <c r="C37" s="42">
        <v>23.78</v>
      </c>
      <c r="D37" s="97" t="s">
        <v>72</v>
      </c>
      <c r="E37" s="97" t="s">
        <v>26</v>
      </c>
      <c r="F37" s="42">
        <v>28.31</v>
      </c>
      <c r="G37" s="97" t="s">
        <v>216</v>
      </c>
    </row>
    <row r="38" spans="1:7" ht="15" customHeight="1" x14ac:dyDescent="0.35">
      <c r="A38" s="93" t="s">
        <v>77</v>
      </c>
      <c r="B38" s="94">
        <v>2016</v>
      </c>
      <c r="C38" s="95">
        <v>23.06</v>
      </c>
      <c r="D38" s="94" t="s">
        <v>72</v>
      </c>
      <c r="E38" s="94" t="s">
        <v>26</v>
      </c>
      <c r="F38" s="95">
        <v>27.13</v>
      </c>
      <c r="G38" s="94" t="s">
        <v>216</v>
      </c>
    </row>
    <row r="39" spans="1:7" ht="15" customHeight="1" x14ac:dyDescent="0.35">
      <c r="A39" s="96" t="s">
        <v>77</v>
      </c>
      <c r="B39" s="97">
        <v>2017</v>
      </c>
      <c r="C39" s="42">
        <v>22.54</v>
      </c>
      <c r="D39" s="97" t="s">
        <v>72</v>
      </c>
      <c r="E39" s="97" t="s">
        <v>26</v>
      </c>
      <c r="F39" s="42">
        <v>25.91</v>
      </c>
      <c r="G39" s="97" t="s">
        <v>216</v>
      </c>
    </row>
    <row r="40" spans="1:7" ht="15" customHeight="1" x14ac:dyDescent="0.35">
      <c r="A40" s="93" t="s">
        <v>77</v>
      </c>
      <c r="B40" s="94">
        <v>2018</v>
      </c>
      <c r="C40" s="95">
        <v>27.13</v>
      </c>
      <c r="D40" s="94" t="s">
        <v>72</v>
      </c>
      <c r="E40" s="94" t="s">
        <v>26</v>
      </c>
      <c r="F40" s="95">
        <v>30.48</v>
      </c>
      <c r="G40" s="94" t="s">
        <v>216</v>
      </c>
    </row>
    <row r="41" spans="1:7" ht="15" customHeight="1" x14ac:dyDescent="0.35">
      <c r="A41" s="96" t="s">
        <v>77</v>
      </c>
      <c r="B41" s="97">
        <v>2019</v>
      </c>
      <c r="C41" s="42">
        <v>29.99</v>
      </c>
      <c r="D41" s="97" t="s">
        <v>72</v>
      </c>
      <c r="E41" s="97" t="s">
        <v>26</v>
      </c>
      <c r="F41" s="42">
        <v>32.96</v>
      </c>
      <c r="G41" s="97" t="s">
        <v>216</v>
      </c>
    </row>
    <row r="42" spans="1:7" ht="15" customHeight="1" x14ac:dyDescent="0.35">
      <c r="A42" s="93" t="s">
        <v>77</v>
      </c>
      <c r="B42" s="94">
        <v>2020</v>
      </c>
      <c r="C42" s="95">
        <v>28.14</v>
      </c>
      <c r="D42" s="94" t="s">
        <v>72</v>
      </c>
      <c r="E42" s="94" t="s">
        <v>26</v>
      </c>
      <c r="F42" s="95">
        <v>30.92</v>
      </c>
      <c r="G42" s="94" t="s">
        <v>216</v>
      </c>
    </row>
    <row r="43" spans="1:7" ht="15" customHeight="1" x14ac:dyDescent="0.35">
      <c r="A43" s="96" t="s">
        <v>77</v>
      </c>
      <c r="B43" s="97">
        <v>2021</v>
      </c>
      <c r="C43" s="42">
        <v>35.81</v>
      </c>
      <c r="D43" s="97" t="s">
        <v>72</v>
      </c>
      <c r="E43" s="97" t="s">
        <v>26</v>
      </c>
      <c r="F43" s="42">
        <v>37.69</v>
      </c>
      <c r="G43" s="97" t="s">
        <v>216</v>
      </c>
    </row>
    <row r="44" spans="1:7" ht="15" customHeight="1" x14ac:dyDescent="0.35">
      <c r="A44" s="93" t="s">
        <v>77</v>
      </c>
      <c r="B44" s="94">
        <v>2021</v>
      </c>
      <c r="C44" s="95">
        <v>19.899999999999999</v>
      </c>
      <c r="D44" s="94" t="s">
        <v>71</v>
      </c>
      <c r="E44" s="94" t="s">
        <v>26</v>
      </c>
      <c r="F44" s="95">
        <v>20.95</v>
      </c>
      <c r="G44" s="94" t="s">
        <v>216</v>
      </c>
    </row>
    <row r="45" spans="1:7" ht="15" customHeight="1" x14ac:dyDescent="0.35">
      <c r="A45" s="96" t="s">
        <v>77</v>
      </c>
      <c r="B45" s="97">
        <v>2022</v>
      </c>
      <c r="C45" s="42">
        <v>39.96</v>
      </c>
      <c r="D45" s="97" t="s">
        <v>72</v>
      </c>
      <c r="E45" s="97" t="s">
        <v>26</v>
      </c>
      <c r="F45" s="42">
        <v>38.799999999999997</v>
      </c>
      <c r="G45" s="97" t="s">
        <v>216</v>
      </c>
    </row>
    <row r="46" spans="1:7" ht="15" customHeight="1" x14ac:dyDescent="0.35">
      <c r="A46" s="93" t="s">
        <v>77</v>
      </c>
      <c r="B46" s="94">
        <v>2022</v>
      </c>
      <c r="C46" s="95">
        <v>19.98</v>
      </c>
      <c r="D46" s="94" t="s">
        <v>71</v>
      </c>
      <c r="E46" s="94" t="s">
        <v>26</v>
      </c>
      <c r="F46" s="95">
        <v>19.399999999999999</v>
      </c>
      <c r="G46" s="94" t="s">
        <v>216</v>
      </c>
    </row>
    <row r="47" spans="1:7" ht="15" customHeight="1" x14ac:dyDescent="0.35">
      <c r="A47" s="96" t="s">
        <v>77</v>
      </c>
      <c r="B47" s="97">
        <v>2023</v>
      </c>
      <c r="C47" s="42">
        <v>48.03</v>
      </c>
      <c r="D47" s="97" t="s">
        <v>72</v>
      </c>
      <c r="E47" s="97" t="s">
        <v>26</v>
      </c>
      <c r="F47" s="42">
        <v>48.03</v>
      </c>
      <c r="G47" s="97" t="s">
        <v>216</v>
      </c>
    </row>
    <row r="48" spans="1:7" ht="15" customHeight="1" x14ac:dyDescent="0.35">
      <c r="A48" s="93" t="s">
        <v>77</v>
      </c>
      <c r="B48" s="94">
        <v>2023</v>
      </c>
      <c r="C48" s="95">
        <v>18.47</v>
      </c>
      <c r="D48" s="94" t="s">
        <v>71</v>
      </c>
      <c r="E48" s="94" t="s">
        <v>26</v>
      </c>
      <c r="F48" s="95">
        <v>18.47</v>
      </c>
      <c r="G48" s="94" t="s">
        <v>216</v>
      </c>
    </row>
    <row r="49" spans="1:7" ht="15" customHeight="1" x14ac:dyDescent="0.35">
      <c r="A49" s="96" t="s">
        <v>77</v>
      </c>
      <c r="B49" s="97">
        <v>2024</v>
      </c>
      <c r="C49" s="42">
        <v>58.94</v>
      </c>
      <c r="D49" s="97" t="s">
        <v>72</v>
      </c>
      <c r="E49" s="97" t="s">
        <v>26</v>
      </c>
      <c r="F49" s="42">
        <v>57.22</v>
      </c>
      <c r="G49" s="97" t="s">
        <v>216</v>
      </c>
    </row>
    <row r="50" spans="1:7" ht="15" customHeight="1" x14ac:dyDescent="0.35">
      <c r="A50" s="93" t="s">
        <v>77</v>
      </c>
      <c r="B50" s="94">
        <v>2024</v>
      </c>
      <c r="C50" s="95">
        <v>58.94</v>
      </c>
      <c r="D50" s="94" t="s">
        <v>71</v>
      </c>
      <c r="E50" s="94" t="s">
        <v>26</v>
      </c>
      <c r="F50" s="95">
        <v>57.22</v>
      </c>
      <c r="G50" s="94" t="s">
        <v>216</v>
      </c>
    </row>
    <row r="51" spans="1:7" ht="15" customHeight="1" x14ac:dyDescent="0.35">
      <c r="A51" s="96" t="s">
        <v>78</v>
      </c>
      <c r="B51" s="97">
        <v>2015</v>
      </c>
      <c r="C51" s="42">
        <v>12.49</v>
      </c>
      <c r="D51" s="97" t="s">
        <v>71</v>
      </c>
      <c r="E51" s="97" t="s">
        <v>26</v>
      </c>
      <c r="F51" s="42">
        <v>14.87</v>
      </c>
      <c r="G51" s="97" t="s">
        <v>216</v>
      </c>
    </row>
    <row r="52" spans="1:7" ht="15" customHeight="1" x14ac:dyDescent="0.35">
      <c r="A52" s="93" t="s">
        <v>78</v>
      </c>
      <c r="B52" s="94">
        <v>2016</v>
      </c>
      <c r="C52" s="95">
        <v>12.8</v>
      </c>
      <c r="D52" s="94" t="s">
        <v>71</v>
      </c>
      <c r="E52" s="94" t="s">
        <v>26</v>
      </c>
      <c r="F52" s="95">
        <v>15.06</v>
      </c>
      <c r="G52" s="94" t="s">
        <v>216</v>
      </c>
    </row>
    <row r="53" spans="1:7" ht="15" customHeight="1" x14ac:dyDescent="0.35">
      <c r="A53" s="96" t="s">
        <v>78</v>
      </c>
      <c r="B53" s="97">
        <v>2017</v>
      </c>
      <c r="C53" s="42">
        <v>15.08</v>
      </c>
      <c r="D53" s="97" t="s">
        <v>71</v>
      </c>
      <c r="E53" s="97" t="s">
        <v>26</v>
      </c>
      <c r="F53" s="42">
        <v>17.329999999999998</v>
      </c>
      <c r="G53" s="97" t="s">
        <v>216</v>
      </c>
    </row>
    <row r="54" spans="1:7" ht="15" customHeight="1" x14ac:dyDescent="0.35">
      <c r="A54" s="93" t="s">
        <v>78</v>
      </c>
      <c r="B54" s="94">
        <v>2018</v>
      </c>
      <c r="C54" s="95">
        <v>15.1</v>
      </c>
      <c r="D54" s="94" t="s">
        <v>71</v>
      </c>
      <c r="E54" s="94" t="s">
        <v>26</v>
      </c>
      <c r="F54" s="95">
        <v>16.97</v>
      </c>
      <c r="G54" s="94" t="s">
        <v>216</v>
      </c>
    </row>
    <row r="55" spans="1:7" ht="15" customHeight="1" x14ac:dyDescent="0.35">
      <c r="A55" s="96" t="s">
        <v>78</v>
      </c>
      <c r="B55" s="97">
        <v>2019</v>
      </c>
      <c r="C55" s="42">
        <v>15.77</v>
      </c>
      <c r="D55" s="97" t="s">
        <v>71</v>
      </c>
      <c r="E55" s="97" t="s">
        <v>26</v>
      </c>
      <c r="F55" s="42">
        <v>17.329999999999998</v>
      </c>
      <c r="G55" s="97" t="s">
        <v>216</v>
      </c>
    </row>
    <row r="56" spans="1:7" ht="15" customHeight="1" x14ac:dyDescent="0.35">
      <c r="A56" s="93" t="s">
        <v>78</v>
      </c>
      <c r="B56" s="94">
        <v>2020</v>
      </c>
      <c r="C56" s="95">
        <v>15.3</v>
      </c>
      <c r="D56" s="94" t="s">
        <v>71</v>
      </c>
      <c r="E56" s="94" t="s">
        <v>26</v>
      </c>
      <c r="F56" s="95">
        <v>16.809999999999999</v>
      </c>
      <c r="G56" s="94" t="s">
        <v>216</v>
      </c>
    </row>
    <row r="57" spans="1:7" ht="15" customHeight="1" x14ac:dyDescent="0.35">
      <c r="A57" s="96" t="s">
        <v>78</v>
      </c>
      <c r="B57" s="97">
        <v>2021</v>
      </c>
      <c r="C57" s="42">
        <v>17.940000000000001</v>
      </c>
      <c r="D57" s="97" t="s">
        <v>71</v>
      </c>
      <c r="E57" s="97" t="s">
        <v>26</v>
      </c>
      <c r="F57" s="42">
        <v>18.88</v>
      </c>
      <c r="G57" s="97" t="s">
        <v>216</v>
      </c>
    </row>
    <row r="58" spans="1:7" ht="15" customHeight="1" x14ac:dyDescent="0.35">
      <c r="A58" s="93" t="s">
        <v>78</v>
      </c>
      <c r="B58" s="94">
        <v>2022</v>
      </c>
      <c r="C58" s="95">
        <v>30.82</v>
      </c>
      <c r="D58" s="94" t="s">
        <v>71</v>
      </c>
      <c r="E58" s="94" t="s">
        <v>26</v>
      </c>
      <c r="F58" s="95">
        <v>29.92</v>
      </c>
      <c r="G58" s="94" t="s">
        <v>216</v>
      </c>
    </row>
    <row r="59" spans="1:7" ht="15" customHeight="1" x14ac:dyDescent="0.35">
      <c r="A59" s="96" t="s">
        <v>78</v>
      </c>
      <c r="B59" s="97">
        <v>2023</v>
      </c>
      <c r="C59" s="42">
        <v>29.84</v>
      </c>
      <c r="D59" s="97" t="s">
        <v>71</v>
      </c>
      <c r="E59" s="97" t="s">
        <v>26</v>
      </c>
      <c r="F59" s="42">
        <v>29.84</v>
      </c>
      <c r="G59" s="97" t="s">
        <v>216</v>
      </c>
    </row>
    <row r="60" spans="1:7" ht="15" customHeight="1" x14ac:dyDescent="0.35">
      <c r="A60" s="93" t="s">
        <v>78</v>
      </c>
      <c r="B60" s="94">
        <v>2024</v>
      </c>
      <c r="C60" s="95">
        <v>38.590000000000003</v>
      </c>
      <c r="D60" s="94" t="s">
        <v>71</v>
      </c>
      <c r="E60" s="94" t="s">
        <v>26</v>
      </c>
      <c r="F60" s="95">
        <v>37.47</v>
      </c>
      <c r="G60" s="94" t="s">
        <v>216</v>
      </c>
    </row>
    <row r="61" spans="1:7" ht="15" customHeight="1" x14ac:dyDescent="0.35">
      <c r="A61" s="96" t="s">
        <v>79</v>
      </c>
      <c r="B61" s="97">
        <v>2019</v>
      </c>
      <c r="C61" s="42">
        <v>15</v>
      </c>
      <c r="D61" s="97" t="s">
        <v>72</v>
      </c>
      <c r="E61" s="97" t="s">
        <v>26</v>
      </c>
      <c r="F61" s="42">
        <v>16.48</v>
      </c>
      <c r="G61" s="97" t="s">
        <v>216</v>
      </c>
    </row>
    <row r="62" spans="1:7" ht="15" customHeight="1" x14ac:dyDescent="0.35">
      <c r="A62" s="93" t="s">
        <v>79</v>
      </c>
      <c r="B62" s="94">
        <v>2020</v>
      </c>
      <c r="C62" s="95">
        <v>21.1</v>
      </c>
      <c r="D62" s="94" t="s">
        <v>72</v>
      </c>
      <c r="E62" s="94" t="s">
        <v>26</v>
      </c>
      <c r="F62" s="95">
        <v>23.19</v>
      </c>
      <c r="G62" s="94" t="s">
        <v>216</v>
      </c>
    </row>
    <row r="63" spans="1:7" ht="15" customHeight="1" x14ac:dyDescent="0.35">
      <c r="A63" s="96" t="s">
        <v>79</v>
      </c>
      <c r="B63" s="97">
        <v>2021</v>
      </c>
      <c r="C63" s="42">
        <v>31.83</v>
      </c>
      <c r="D63" s="97" t="s">
        <v>72</v>
      </c>
      <c r="E63" s="97" t="s">
        <v>26</v>
      </c>
      <c r="F63" s="42">
        <v>33.51</v>
      </c>
      <c r="G63" s="97" t="s">
        <v>216</v>
      </c>
    </row>
    <row r="64" spans="1:7" ht="15" customHeight="1" x14ac:dyDescent="0.35">
      <c r="A64" s="93" t="s">
        <v>79</v>
      </c>
      <c r="B64" s="94">
        <v>2021</v>
      </c>
      <c r="C64" s="95">
        <v>31.83</v>
      </c>
      <c r="D64" s="94" t="s">
        <v>71</v>
      </c>
      <c r="E64" s="94" t="s">
        <v>26</v>
      </c>
      <c r="F64" s="95">
        <v>33.51</v>
      </c>
      <c r="G64" s="94" t="s">
        <v>216</v>
      </c>
    </row>
    <row r="65" spans="1:7" ht="15" customHeight="1" x14ac:dyDescent="0.35">
      <c r="A65" s="96" t="s">
        <v>79</v>
      </c>
      <c r="B65" s="97">
        <v>2022</v>
      </c>
      <c r="C65" s="42">
        <v>39.96</v>
      </c>
      <c r="D65" s="97" t="s">
        <v>72</v>
      </c>
      <c r="E65" s="97" t="s">
        <v>26</v>
      </c>
      <c r="F65" s="42">
        <v>38.799999999999997</v>
      </c>
      <c r="G65" s="97" t="s">
        <v>216</v>
      </c>
    </row>
    <row r="66" spans="1:7" ht="15" customHeight="1" x14ac:dyDescent="0.35">
      <c r="A66" s="93" t="s">
        <v>79</v>
      </c>
      <c r="B66" s="94">
        <v>2022</v>
      </c>
      <c r="C66" s="95">
        <v>39.96</v>
      </c>
      <c r="D66" s="94" t="s">
        <v>71</v>
      </c>
      <c r="E66" s="94" t="s">
        <v>26</v>
      </c>
      <c r="F66" s="95">
        <v>38.799999999999997</v>
      </c>
      <c r="G66" s="94" t="s">
        <v>216</v>
      </c>
    </row>
    <row r="67" spans="1:7" ht="15" customHeight="1" x14ac:dyDescent="0.35">
      <c r="A67" s="96" t="s">
        <v>79</v>
      </c>
      <c r="B67" s="97">
        <v>2023</v>
      </c>
      <c r="C67" s="42">
        <v>48.03</v>
      </c>
      <c r="D67" s="97" t="s">
        <v>72</v>
      </c>
      <c r="E67" s="97" t="s">
        <v>26</v>
      </c>
      <c r="F67" s="42">
        <v>48.03</v>
      </c>
      <c r="G67" s="97" t="s">
        <v>216</v>
      </c>
    </row>
    <row r="68" spans="1:7" ht="15" customHeight="1" x14ac:dyDescent="0.35">
      <c r="A68" s="93" t="s">
        <v>79</v>
      </c>
      <c r="B68" s="94">
        <v>2023</v>
      </c>
      <c r="C68" s="95">
        <v>48.03</v>
      </c>
      <c r="D68" s="94" t="s">
        <v>71</v>
      </c>
      <c r="E68" s="94" t="s">
        <v>26</v>
      </c>
      <c r="F68" s="95">
        <v>48.03</v>
      </c>
      <c r="G68" s="94" t="s">
        <v>216</v>
      </c>
    </row>
    <row r="69" spans="1:7" ht="15" customHeight="1" x14ac:dyDescent="0.35">
      <c r="A69" s="96" t="s">
        <v>79</v>
      </c>
      <c r="B69" s="97">
        <v>2024</v>
      </c>
      <c r="C69" s="42">
        <v>58.94</v>
      </c>
      <c r="D69" s="97" t="s">
        <v>72</v>
      </c>
      <c r="E69" s="97" t="s">
        <v>26</v>
      </c>
      <c r="F69" s="42">
        <v>57.22</v>
      </c>
      <c r="G69" s="97" t="s">
        <v>216</v>
      </c>
    </row>
    <row r="70" spans="1:7" ht="15" customHeight="1" x14ac:dyDescent="0.35">
      <c r="A70" s="93" t="s">
        <v>79</v>
      </c>
      <c r="B70" s="94">
        <v>2024</v>
      </c>
      <c r="C70" s="95">
        <v>58.94</v>
      </c>
      <c r="D70" s="94" t="s">
        <v>71</v>
      </c>
      <c r="E70" s="94" t="s">
        <v>26</v>
      </c>
      <c r="F70" s="95">
        <v>57.22</v>
      </c>
      <c r="G70" s="94" t="s">
        <v>216</v>
      </c>
    </row>
    <row r="71" spans="1:7" ht="15" customHeight="1" x14ac:dyDescent="0.35">
      <c r="A71" s="96" t="s">
        <v>80</v>
      </c>
      <c r="B71" s="97">
        <v>2017</v>
      </c>
      <c r="C71" s="42">
        <v>5</v>
      </c>
      <c r="D71" s="97" t="s">
        <v>72</v>
      </c>
      <c r="E71" s="97" t="s">
        <v>24</v>
      </c>
      <c r="F71" s="42">
        <v>5.75</v>
      </c>
      <c r="G71" s="97" t="s">
        <v>216</v>
      </c>
    </row>
    <row r="72" spans="1:7" ht="15" customHeight="1" x14ac:dyDescent="0.35">
      <c r="A72" s="93" t="s">
        <v>80</v>
      </c>
      <c r="B72" s="94">
        <v>2018</v>
      </c>
      <c r="C72" s="95">
        <v>5</v>
      </c>
      <c r="D72" s="94" t="s">
        <v>72</v>
      </c>
      <c r="E72" s="94" t="s">
        <v>24</v>
      </c>
      <c r="F72" s="95">
        <v>5.62</v>
      </c>
      <c r="G72" s="94" t="s">
        <v>216</v>
      </c>
    </row>
    <row r="73" spans="1:7" ht="15" customHeight="1" x14ac:dyDescent="0.35">
      <c r="A73" s="96" t="s">
        <v>80</v>
      </c>
      <c r="B73" s="97">
        <v>2019</v>
      </c>
      <c r="C73" s="42">
        <v>5</v>
      </c>
      <c r="D73" s="97" t="s">
        <v>72</v>
      </c>
      <c r="E73" s="97" t="s">
        <v>24</v>
      </c>
      <c r="F73" s="42">
        <v>5.49</v>
      </c>
      <c r="G73" s="97" t="s">
        <v>216</v>
      </c>
    </row>
    <row r="74" spans="1:7" ht="15" customHeight="1" x14ac:dyDescent="0.35">
      <c r="A74" s="93" t="s">
        <v>80</v>
      </c>
      <c r="B74" s="94">
        <v>2020</v>
      </c>
      <c r="C74" s="95">
        <v>5</v>
      </c>
      <c r="D74" s="94" t="s">
        <v>72</v>
      </c>
      <c r="E74" s="94" t="s">
        <v>24</v>
      </c>
      <c r="F74" s="95">
        <v>5.49</v>
      </c>
      <c r="G74" s="94" t="s">
        <v>216</v>
      </c>
    </row>
    <row r="75" spans="1:7" ht="15" customHeight="1" x14ac:dyDescent="0.35">
      <c r="A75" s="96" t="s">
        <v>80</v>
      </c>
      <c r="B75" s="97">
        <v>2021</v>
      </c>
      <c r="C75" s="42">
        <v>5</v>
      </c>
      <c r="D75" s="97" t="s">
        <v>72</v>
      </c>
      <c r="E75" s="97" t="s">
        <v>24</v>
      </c>
      <c r="F75" s="42">
        <v>5.26</v>
      </c>
      <c r="G75" s="97" t="s">
        <v>216</v>
      </c>
    </row>
    <row r="76" spans="1:7" ht="15" customHeight="1" x14ac:dyDescent="0.35">
      <c r="A76" s="93" t="s">
        <v>80</v>
      </c>
      <c r="B76" s="94">
        <v>2022</v>
      </c>
      <c r="C76" s="95">
        <v>5</v>
      </c>
      <c r="D76" s="94" t="s">
        <v>72</v>
      </c>
      <c r="E76" s="94" t="s">
        <v>24</v>
      </c>
      <c r="F76" s="95">
        <v>4.8499999999999996</v>
      </c>
      <c r="G76" s="94" t="s">
        <v>216</v>
      </c>
    </row>
    <row r="77" spans="1:7" ht="15" customHeight="1" x14ac:dyDescent="0.35">
      <c r="A77" s="96" t="s">
        <v>80</v>
      </c>
      <c r="B77" s="97">
        <v>2023</v>
      </c>
      <c r="C77" s="42">
        <v>5</v>
      </c>
      <c r="D77" s="97" t="s">
        <v>72</v>
      </c>
      <c r="E77" s="97" t="s">
        <v>24</v>
      </c>
      <c r="F77" s="42">
        <v>5</v>
      </c>
      <c r="G77" s="97" t="s">
        <v>216</v>
      </c>
    </row>
    <row r="78" spans="1:7" ht="15" customHeight="1" x14ac:dyDescent="0.35">
      <c r="A78" s="93" t="s">
        <v>80</v>
      </c>
      <c r="B78" s="94">
        <v>2024</v>
      </c>
      <c r="C78" s="95">
        <v>5</v>
      </c>
      <c r="D78" s="94" t="s">
        <v>72</v>
      </c>
      <c r="E78" s="94" t="s">
        <v>24</v>
      </c>
      <c r="F78" s="95">
        <v>4.8499999999999996</v>
      </c>
      <c r="G78" s="94" t="s">
        <v>216</v>
      </c>
    </row>
    <row r="79" spans="1:7" ht="15" customHeight="1" x14ac:dyDescent="0.35">
      <c r="A79" s="96" t="s">
        <v>81</v>
      </c>
      <c r="B79" s="97">
        <v>2022</v>
      </c>
      <c r="C79" s="42">
        <v>9.1999999999999993</v>
      </c>
      <c r="D79" s="97" t="s">
        <v>71</v>
      </c>
      <c r="E79" s="97" t="s">
        <v>20</v>
      </c>
      <c r="F79" s="42">
        <v>8.93</v>
      </c>
      <c r="G79" s="97" t="s">
        <v>216</v>
      </c>
    </row>
    <row r="80" spans="1:7" ht="15" customHeight="1" x14ac:dyDescent="0.35">
      <c r="A80" s="93" t="s">
        <v>81</v>
      </c>
      <c r="B80" s="94">
        <v>2023</v>
      </c>
      <c r="C80" s="95">
        <v>8.15</v>
      </c>
      <c r="D80" s="94" t="s">
        <v>71</v>
      </c>
      <c r="E80" s="94" t="s">
        <v>20</v>
      </c>
      <c r="F80" s="95">
        <v>8.15</v>
      </c>
      <c r="G80" s="94" t="s">
        <v>216</v>
      </c>
    </row>
    <row r="81" spans="1:7" ht="15" customHeight="1" x14ac:dyDescent="0.35">
      <c r="A81" s="96" t="s">
        <v>81</v>
      </c>
      <c r="B81" s="97">
        <v>2024</v>
      </c>
      <c r="C81" s="42">
        <v>12.57</v>
      </c>
      <c r="D81" s="97" t="s">
        <v>71</v>
      </c>
      <c r="E81" s="97" t="s">
        <v>20</v>
      </c>
      <c r="F81" s="42">
        <v>12.2</v>
      </c>
      <c r="G81" s="97" t="s">
        <v>216</v>
      </c>
    </row>
    <row r="82" spans="1:7" ht="15" customHeight="1" x14ac:dyDescent="0.35">
      <c r="A82" s="93" t="s">
        <v>82</v>
      </c>
      <c r="B82" s="94">
        <v>2015</v>
      </c>
      <c r="C82" s="95">
        <v>3.9</v>
      </c>
      <c r="D82" s="94" t="s">
        <v>71</v>
      </c>
      <c r="E82" s="94" t="s">
        <v>20</v>
      </c>
      <c r="F82" s="95">
        <v>4.6399999999999997</v>
      </c>
      <c r="G82" s="94" t="s">
        <v>216</v>
      </c>
    </row>
    <row r="83" spans="1:7" ht="15" customHeight="1" x14ac:dyDescent="0.35">
      <c r="A83" s="96" t="s">
        <v>82</v>
      </c>
      <c r="B83" s="97">
        <v>2016</v>
      </c>
      <c r="C83" s="42">
        <v>1.2</v>
      </c>
      <c r="D83" s="97" t="s">
        <v>71</v>
      </c>
      <c r="E83" s="97" t="s">
        <v>20</v>
      </c>
      <c r="F83" s="42">
        <v>1.41</v>
      </c>
      <c r="G83" s="97" t="s">
        <v>216</v>
      </c>
    </row>
    <row r="84" spans="1:7" ht="15" customHeight="1" x14ac:dyDescent="0.35">
      <c r="A84" s="93" t="s">
        <v>82</v>
      </c>
      <c r="B84" s="94">
        <v>2017</v>
      </c>
      <c r="C84" s="95">
        <v>0.22</v>
      </c>
      <c r="D84" s="94" t="s">
        <v>71</v>
      </c>
      <c r="E84" s="94" t="s">
        <v>20</v>
      </c>
      <c r="F84" s="95">
        <v>0.25</v>
      </c>
      <c r="G84" s="94" t="s">
        <v>216</v>
      </c>
    </row>
    <row r="85" spans="1:7" ht="15" customHeight="1" x14ac:dyDescent="0.35">
      <c r="A85" s="96" t="s">
        <v>82</v>
      </c>
      <c r="B85" s="97">
        <v>2018</v>
      </c>
      <c r="C85" s="42">
        <v>3.82</v>
      </c>
      <c r="D85" s="97" t="s">
        <v>71</v>
      </c>
      <c r="E85" s="97" t="s">
        <v>20</v>
      </c>
      <c r="F85" s="42">
        <v>4.29</v>
      </c>
      <c r="G85" s="97" t="s">
        <v>216</v>
      </c>
    </row>
    <row r="86" spans="1:7" ht="15" customHeight="1" x14ac:dyDescent="0.35">
      <c r="A86" s="93" t="s">
        <v>82</v>
      </c>
      <c r="B86" s="94">
        <v>2019</v>
      </c>
      <c r="C86" s="95">
        <v>0.55000000000000004</v>
      </c>
      <c r="D86" s="94" t="s">
        <v>71</v>
      </c>
      <c r="E86" s="94" t="s">
        <v>20</v>
      </c>
      <c r="F86" s="95">
        <v>0.6</v>
      </c>
      <c r="G86" s="94" t="s">
        <v>216</v>
      </c>
    </row>
    <row r="87" spans="1:7" ht="15" customHeight="1" x14ac:dyDescent="0.35">
      <c r="A87" s="96" t="s">
        <v>82</v>
      </c>
      <c r="B87" s="97">
        <v>2020</v>
      </c>
      <c r="C87" s="42">
        <v>5.31</v>
      </c>
      <c r="D87" s="97" t="s">
        <v>71</v>
      </c>
      <c r="E87" s="97" t="s">
        <v>20</v>
      </c>
      <c r="F87" s="42">
        <v>5.84</v>
      </c>
      <c r="G87" s="97" t="s">
        <v>216</v>
      </c>
    </row>
    <row r="88" spans="1:7" ht="15" customHeight="1" x14ac:dyDescent="0.35">
      <c r="A88" s="93" t="s">
        <v>82</v>
      </c>
      <c r="B88" s="94">
        <v>2021</v>
      </c>
      <c r="C88" s="95">
        <v>3.71</v>
      </c>
      <c r="D88" s="94" t="s">
        <v>71</v>
      </c>
      <c r="E88" s="94" t="s">
        <v>20</v>
      </c>
      <c r="F88" s="95">
        <v>3.91</v>
      </c>
      <c r="G88" s="94" t="s">
        <v>216</v>
      </c>
    </row>
    <row r="89" spans="1:7" ht="15" customHeight="1" x14ac:dyDescent="0.35">
      <c r="A89" s="96" t="s">
        <v>82</v>
      </c>
      <c r="B89" s="97">
        <v>2022</v>
      </c>
      <c r="C89" s="42">
        <v>5.66</v>
      </c>
      <c r="D89" s="97" t="s">
        <v>71</v>
      </c>
      <c r="E89" s="97" t="s">
        <v>20</v>
      </c>
      <c r="F89" s="42">
        <v>5.5</v>
      </c>
      <c r="G89" s="97" t="s">
        <v>216</v>
      </c>
    </row>
    <row r="90" spans="1:7" ht="15" customHeight="1" x14ac:dyDescent="0.35">
      <c r="A90" s="93" t="s">
        <v>82</v>
      </c>
      <c r="B90" s="94">
        <v>2023</v>
      </c>
      <c r="C90" s="95">
        <v>4.66</v>
      </c>
      <c r="D90" s="94" t="s">
        <v>71</v>
      </c>
      <c r="E90" s="94" t="s">
        <v>20</v>
      </c>
      <c r="F90" s="95">
        <v>4.66</v>
      </c>
      <c r="G90" s="94" t="s">
        <v>216</v>
      </c>
    </row>
    <row r="91" spans="1:7" ht="15" customHeight="1" x14ac:dyDescent="0.35">
      <c r="A91" s="96" t="s">
        <v>82</v>
      </c>
      <c r="B91" s="97">
        <v>2024</v>
      </c>
      <c r="C91" s="42">
        <v>5.99</v>
      </c>
      <c r="D91" s="97" t="s">
        <v>71</v>
      </c>
      <c r="E91" s="97" t="s">
        <v>20</v>
      </c>
      <c r="F91" s="42">
        <v>5.82</v>
      </c>
      <c r="G91" s="97" t="s">
        <v>216</v>
      </c>
    </row>
    <row r="92" spans="1:7" ht="15" customHeight="1" x14ac:dyDescent="0.35">
      <c r="A92" s="93" t="s">
        <v>83</v>
      </c>
      <c r="B92" s="94">
        <v>2017</v>
      </c>
      <c r="C92" s="95">
        <v>5.21</v>
      </c>
      <c r="D92" s="94" t="s">
        <v>72</v>
      </c>
      <c r="E92" s="94" t="s">
        <v>24</v>
      </c>
      <c r="F92" s="95">
        <v>5.99</v>
      </c>
      <c r="G92" s="94" t="s">
        <v>216</v>
      </c>
    </row>
    <row r="93" spans="1:7" ht="15" customHeight="1" x14ac:dyDescent="0.35">
      <c r="A93" s="96" t="s">
        <v>83</v>
      </c>
      <c r="B93" s="97">
        <v>2018</v>
      </c>
      <c r="C93" s="42">
        <v>5.67</v>
      </c>
      <c r="D93" s="97" t="s">
        <v>72</v>
      </c>
      <c r="E93" s="97" t="s">
        <v>24</v>
      </c>
      <c r="F93" s="42">
        <v>6.37</v>
      </c>
      <c r="G93" s="97" t="s">
        <v>216</v>
      </c>
    </row>
    <row r="94" spans="1:7" ht="15" customHeight="1" x14ac:dyDescent="0.35">
      <c r="A94" s="93" t="s">
        <v>83</v>
      </c>
      <c r="B94" s="94">
        <v>2019</v>
      </c>
      <c r="C94" s="95">
        <v>5.17</v>
      </c>
      <c r="D94" s="94" t="s">
        <v>72</v>
      </c>
      <c r="E94" s="94" t="s">
        <v>24</v>
      </c>
      <c r="F94" s="95">
        <v>5.68</v>
      </c>
      <c r="G94" s="94" t="s">
        <v>216</v>
      </c>
    </row>
    <row r="95" spans="1:7" ht="15" customHeight="1" x14ac:dyDescent="0.35">
      <c r="A95" s="96" t="s">
        <v>83</v>
      </c>
      <c r="B95" s="97">
        <v>2020</v>
      </c>
      <c r="C95" s="42">
        <v>4.24</v>
      </c>
      <c r="D95" s="97" t="s">
        <v>72</v>
      </c>
      <c r="E95" s="97" t="s">
        <v>24</v>
      </c>
      <c r="F95" s="42">
        <v>4.66</v>
      </c>
      <c r="G95" s="97" t="s">
        <v>216</v>
      </c>
    </row>
    <row r="96" spans="1:7" ht="15" customHeight="1" x14ac:dyDescent="0.35">
      <c r="A96" s="93" t="s">
        <v>83</v>
      </c>
      <c r="B96" s="94">
        <v>2021</v>
      </c>
      <c r="C96" s="95">
        <v>0</v>
      </c>
      <c r="D96" s="94" t="s">
        <v>72</v>
      </c>
      <c r="E96" s="94" t="s">
        <v>24</v>
      </c>
      <c r="F96" s="95">
        <v>0</v>
      </c>
      <c r="G96" s="94" t="s">
        <v>216</v>
      </c>
    </row>
    <row r="97" spans="1:7" ht="15" customHeight="1" x14ac:dyDescent="0.35">
      <c r="A97" s="96" t="s">
        <v>83</v>
      </c>
      <c r="B97" s="97">
        <v>2022</v>
      </c>
      <c r="C97" s="42">
        <v>5.01</v>
      </c>
      <c r="D97" s="97" t="s">
        <v>72</v>
      </c>
      <c r="E97" s="97" t="s">
        <v>24</v>
      </c>
      <c r="F97" s="42">
        <v>4.8600000000000003</v>
      </c>
      <c r="G97" s="97" t="s">
        <v>216</v>
      </c>
    </row>
    <row r="98" spans="1:7" ht="15" customHeight="1" x14ac:dyDescent="0.35">
      <c r="A98" s="93" t="s">
        <v>83</v>
      </c>
      <c r="B98" s="94">
        <v>2023</v>
      </c>
      <c r="C98" s="95">
        <v>5.0599999999999996</v>
      </c>
      <c r="D98" s="94" t="s">
        <v>72</v>
      </c>
      <c r="E98" s="94" t="s">
        <v>24</v>
      </c>
      <c r="F98" s="95">
        <v>5.0599999999999996</v>
      </c>
      <c r="G98" s="94" t="s">
        <v>216</v>
      </c>
    </row>
    <row r="99" spans="1:7" ht="15" customHeight="1" x14ac:dyDescent="0.35">
      <c r="A99" s="96" t="s">
        <v>83</v>
      </c>
      <c r="B99" s="97">
        <v>2024</v>
      </c>
      <c r="C99" s="42">
        <v>6.68</v>
      </c>
      <c r="D99" s="97" t="s">
        <v>72</v>
      </c>
      <c r="E99" s="97" t="s">
        <v>24</v>
      </c>
      <c r="F99" s="42">
        <v>6.49</v>
      </c>
      <c r="G99" s="97" t="s">
        <v>216</v>
      </c>
    </row>
    <row r="100" spans="1:7" ht="15" customHeight="1" x14ac:dyDescent="0.35">
      <c r="A100" s="93" t="s">
        <v>84</v>
      </c>
      <c r="B100" s="94">
        <v>2015</v>
      </c>
      <c r="C100" s="95">
        <v>24.47</v>
      </c>
      <c r="D100" s="94" t="s">
        <v>72</v>
      </c>
      <c r="E100" s="94" t="s">
        <v>22</v>
      </c>
      <c r="F100" s="95">
        <v>29.13</v>
      </c>
      <c r="G100" s="94" t="s">
        <v>216</v>
      </c>
    </row>
    <row r="101" spans="1:7" ht="15" customHeight="1" x14ac:dyDescent="0.35">
      <c r="A101" s="96" t="s">
        <v>84</v>
      </c>
      <c r="B101" s="97">
        <v>2016</v>
      </c>
      <c r="C101" s="42">
        <v>25.61</v>
      </c>
      <c r="D101" s="97" t="s">
        <v>72</v>
      </c>
      <c r="E101" s="97" t="s">
        <v>22</v>
      </c>
      <c r="F101" s="42">
        <v>30.13</v>
      </c>
      <c r="G101" s="97" t="s">
        <v>216</v>
      </c>
    </row>
    <row r="102" spans="1:7" ht="15" customHeight="1" x14ac:dyDescent="0.35">
      <c r="A102" s="93" t="s">
        <v>84</v>
      </c>
      <c r="B102" s="94">
        <v>2017</v>
      </c>
      <c r="C102" s="95">
        <v>24.78</v>
      </c>
      <c r="D102" s="94" t="s">
        <v>72</v>
      </c>
      <c r="E102" s="94" t="s">
        <v>22</v>
      </c>
      <c r="F102" s="95">
        <v>28.48</v>
      </c>
      <c r="G102" s="94" t="s">
        <v>216</v>
      </c>
    </row>
    <row r="103" spans="1:7" ht="15" customHeight="1" x14ac:dyDescent="0.35">
      <c r="A103" s="96" t="s">
        <v>84</v>
      </c>
      <c r="B103" s="97">
        <v>2018</v>
      </c>
      <c r="C103" s="42">
        <v>28.82</v>
      </c>
      <c r="D103" s="97" t="s">
        <v>72</v>
      </c>
      <c r="E103" s="97" t="s">
        <v>22</v>
      </c>
      <c r="F103" s="42">
        <v>32.380000000000003</v>
      </c>
      <c r="G103" s="97" t="s">
        <v>216</v>
      </c>
    </row>
    <row r="104" spans="1:7" ht="15" customHeight="1" x14ac:dyDescent="0.35">
      <c r="A104" s="93" t="s">
        <v>84</v>
      </c>
      <c r="B104" s="94">
        <v>2019</v>
      </c>
      <c r="C104" s="95">
        <v>26.39</v>
      </c>
      <c r="D104" s="94" t="s">
        <v>72</v>
      </c>
      <c r="E104" s="94" t="s">
        <v>22</v>
      </c>
      <c r="F104" s="95">
        <v>29</v>
      </c>
      <c r="G104" s="94" t="s">
        <v>216</v>
      </c>
    </row>
    <row r="105" spans="1:7" ht="15" customHeight="1" x14ac:dyDescent="0.35">
      <c r="A105" s="96" t="s">
        <v>84</v>
      </c>
      <c r="B105" s="97">
        <v>2020</v>
      </c>
      <c r="C105" s="42">
        <v>25.93</v>
      </c>
      <c r="D105" s="97" t="s">
        <v>72</v>
      </c>
      <c r="E105" s="97" t="s">
        <v>22</v>
      </c>
      <c r="F105" s="42">
        <v>28.49</v>
      </c>
      <c r="G105" s="97" t="s">
        <v>216</v>
      </c>
    </row>
    <row r="106" spans="1:7" ht="15" customHeight="1" x14ac:dyDescent="0.35">
      <c r="A106" s="93" t="s">
        <v>84</v>
      </c>
      <c r="B106" s="94">
        <v>2021</v>
      </c>
      <c r="C106" s="95">
        <v>28.14</v>
      </c>
      <c r="D106" s="94" t="s">
        <v>72</v>
      </c>
      <c r="E106" s="94" t="s">
        <v>22</v>
      </c>
      <c r="F106" s="95">
        <v>29.62</v>
      </c>
      <c r="G106" s="94" t="s">
        <v>216</v>
      </c>
    </row>
    <row r="107" spans="1:7" ht="15" customHeight="1" x14ac:dyDescent="0.35">
      <c r="A107" s="96" t="s">
        <v>84</v>
      </c>
      <c r="B107" s="97">
        <v>2022</v>
      </c>
      <c r="C107" s="42">
        <v>26.62</v>
      </c>
      <c r="D107" s="97" t="s">
        <v>72</v>
      </c>
      <c r="E107" s="97" t="s">
        <v>22</v>
      </c>
      <c r="F107" s="42">
        <v>25.84</v>
      </c>
      <c r="G107" s="97" t="s">
        <v>216</v>
      </c>
    </row>
    <row r="108" spans="1:7" ht="15" customHeight="1" x14ac:dyDescent="0.35">
      <c r="A108" s="93" t="s">
        <v>84</v>
      </c>
      <c r="B108" s="94">
        <v>2023</v>
      </c>
      <c r="C108" s="95">
        <v>26.53</v>
      </c>
      <c r="D108" s="94" t="s">
        <v>72</v>
      </c>
      <c r="E108" s="94" t="s">
        <v>22</v>
      </c>
      <c r="F108" s="95">
        <v>26.53</v>
      </c>
      <c r="G108" s="94" t="s">
        <v>216</v>
      </c>
    </row>
    <row r="109" spans="1:7" ht="15" customHeight="1" x14ac:dyDescent="0.35">
      <c r="A109" s="96" t="s">
        <v>84</v>
      </c>
      <c r="B109" s="97">
        <v>2024</v>
      </c>
      <c r="C109" s="42">
        <v>28.2</v>
      </c>
      <c r="D109" s="97" t="s">
        <v>72</v>
      </c>
      <c r="E109" s="97" t="s">
        <v>22</v>
      </c>
      <c r="F109" s="42">
        <v>27.38</v>
      </c>
      <c r="G109" s="97" t="s">
        <v>216</v>
      </c>
    </row>
    <row r="110" spans="1:7" ht="15" customHeight="1" x14ac:dyDescent="0.35">
      <c r="A110" s="93" t="s">
        <v>218</v>
      </c>
      <c r="B110" s="94">
        <v>2024</v>
      </c>
      <c r="C110" s="95">
        <v>6.04</v>
      </c>
      <c r="D110" s="94" t="s">
        <v>72</v>
      </c>
      <c r="E110" s="94" t="s">
        <v>24</v>
      </c>
      <c r="F110" s="95">
        <v>5.86</v>
      </c>
      <c r="G110" s="94" t="s">
        <v>216</v>
      </c>
    </row>
    <row r="111" spans="1:7" ht="15" customHeight="1" x14ac:dyDescent="0.35">
      <c r="A111" s="96" t="s">
        <v>85</v>
      </c>
      <c r="B111" s="97">
        <v>2015</v>
      </c>
      <c r="C111" s="42">
        <v>7.68</v>
      </c>
      <c r="D111" s="97" t="s">
        <v>71</v>
      </c>
      <c r="E111" s="97" t="s">
        <v>22</v>
      </c>
      <c r="F111" s="42">
        <v>9.14</v>
      </c>
      <c r="G111" s="97" t="s">
        <v>216</v>
      </c>
    </row>
    <row r="112" spans="1:7" ht="15" customHeight="1" x14ac:dyDescent="0.35">
      <c r="A112" s="93" t="s">
        <v>85</v>
      </c>
      <c r="B112" s="94">
        <v>2016</v>
      </c>
      <c r="C112" s="95">
        <v>4.87</v>
      </c>
      <c r="D112" s="94" t="s">
        <v>71</v>
      </c>
      <c r="E112" s="94" t="s">
        <v>22</v>
      </c>
      <c r="F112" s="95">
        <v>5.73</v>
      </c>
      <c r="G112" s="94" t="s">
        <v>216</v>
      </c>
    </row>
    <row r="113" spans="1:7" ht="15" customHeight="1" x14ac:dyDescent="0.35">
      <c r="A113" s="96" t="s">
        <v>85</v>
      </c>
      <c r="B113" s="97">
        <v>2017</v>
      </c>
      <c r="C113" s="42">
        <v>5.64</v>
      </c>
      <c r="D113" s="97" t="s">
        <v>71</v>
      </c>
      <c r="E113" s="97" t="s">
        <v>22</v>
      </c>
      <c r="F113" s="42">
        <v>6.48</v>
      </c>
      <c r="G113" s="97" t="s">
        <v>216</v>
      </c>
    </row>
    <row r="114" spans="1:7" ht="15" customHeight="1" x14ac:dyDescent="0.35">
      <c r="A114" s="93" t="s">
        <v>85</v>
      </c>
      <c r="B114" s="94">
        <v>2018</v>
      </c>
      <c r="C114" s="95">
        <v>16.37</v>
      </c>
      <c r="D114" s="94" t="s">
        <v>71</v>
      </c>
      <c r="E114" s="94" t="s">
        <v>22</v>
      </c>
      <c r="F114" s="95">
        <v>18.39</v>
      </c>
      <c r="G114" s="94" t="s">
        <v>216</v>
      </c>
    </row>
    <row r="115" spans="1:7" ht="15" customHeight="1" x14ac:dyDescent="0.35">
      <c r="A115" s="96" t="s">
        <v>85</v>
      </c>
      <c r="B115" s="97">
        <v>2019</v>
      </c>
      <c r="C115" s="42">
        <v>24.51</v>
      </c>
      <c r="D115" s="97" t="s">
        <v>71</v>
      </c>
      <c r="E115" s="97" t="s">
        <v>22</v>
      </c>
      <c r="F115" s="42">
        <v>26.93</v>
      </c>
      <c r="G115" s="97" t="s">
        <v>216</v>
      </c>
    </row>
    <row r="116" spans="1:7" ht="15" customHeight="1" x14ac:dyDescent="0.35">
      <c r="A116" s="93" t="s">
        <v>85</v>
      </c>
      <c r="B116" s="94">
        <v>2020</v>
      </c>
      <c r="C116" s="95">
        <v>18.54</v>
      </c>
      <c r="D116" s="94" t="s">
        <v>71</v>
      </c>
      <c r="E116" s="94" t="s">
        <v>22</v>
      </c>
      <c r="F116" s="95">
        <v>20.37</v>
      </c>
      <c r="G116" s="94" t="s">
        <v>216</v>
      </c>
    </row>
    <row r="117" spans="1:7" ht="15" customHeight="1" x14ac:dyDescent="0.35">
      <c r="A117" s="96" t="s">
        <v>85</v>
      </c>
      <c r="B117" s="97">
        <v>2021</v>
      </c>
      <c r="C117" s="42">
        <v>49.78</v>
      </c>
      <c r="D117" s="97" t="s">
        <v>71</v>
      </c>
      <c r="E117" s="97" t="s">
        <v>22</v>
      </c>
      <c r="F117" s="42">
        <v>52.4</v>
      </c>
      <c r="G117" s="97" t="s">
        <v>216</v>
      </c>
    </row>
    <row r="118" spans="1:7" ht="15" customHeight="1" x14ac:dyDescent="0.35">
      <c r="A118" s="93" t="s">
        <v>85</v>
      </c>
      <c r="B118" s="94">
        <v>2022</v>
      </c>
      <c r="C118" s="95">
        <v>86.53</v>
      </c>
      <c r="D118" s="94" t="s">
        <v>71</v>
      </c>
      <c r="E118" s="94" t="s">
        <v>22</v>
      </c>
      <c r="F118" s="95">
        <v>84.01</v>
      </c>
      <c r="G118" s="94" t="s">
        <v>216</v>
      </c>
    </row>
    <row r="119" spans="1:7" ht="15" customHeight="1" x14ac:dyDescent="0.35">
      <c r="A119" s="96" t="s">
        <v>85</v>
      </c>
      <c r="B119" s="97">
        <v>2023</v>
      </c>
      <c r="C119" s="42">
        <v>96.3</v>
      </c>
      <c r="D119" s="97" t="s">
        <v>71</v>
      </c>
      <c r="E119" s="97" t="s">
        <v>22</v>
      </c>
      <c r="F119" s="42">
        <v>96.3</v>
      </c>
      <c r="G119" s="97" t="s">
        <v>216</v>
      </c>
    </row>
    <row r="120" spans="1:7" ht="15" customHeight="1" x14ac:dyDescent="0.35">
      <c r="A120" s="93" t="s">
        <v>85</v>
      </c>
      <c r="B120" s="94">
        <v>2024</v>
      </c>
      <c r="C120" s="95">
        <v>61.3</v>
      </c>
      <c r="D120" s="94" t="s">
        <v>71</v>
      </c>
      <c r="E120" s="94" t="s">
        <v>22</v>
      </c>
      <c r="F120" s="95">
        <v>59.51</v>
      </c>
      <c r="G120" s="94" t="s">
        <v>216</v>
      </c>
    </row>
    <row r="121" spans="1:7" ht="15" customHeight="1" x14ac:dyDescent="0.35">
      <c r="A121" s="96" t="s">
        <v>86</v>
      </c>
      <c r="B121" s="97">
        <v>2015</v>
      </c>
      <c r="C121" s="42">
        <v>2.15</v>
      </c>
      <c r="D121" s="97" t="s">
        <v>72</v>
      </c>
      <c r="E121" s="97" t="s">
        <v>22</v>
      </c>
      <c r="F121" s="42">
        <v>2.56</v>
      </c>
      <c r="G121" s="97" t="s">
        <v>216</v>
      </c>
    </row>
    <row r="122" spans="1:7" ht="15" customHeight="1" x14ac:dyDescent="0.35">
      <c r="A122" s="93" t="s">
        <v>86</v>
      </c>
      <c r="B122" s="94">
        <v>2016</v>
      </c>
      <c r="C122" s="95">
        <v>2.23</v>
      </c>
      <c r="D122" s="94" t="s">
        <v>72</v>
      </c>
      <c r="E122" s="94" t="s">
        <v>22</v>
      </c>
      <c r="F122" s="95">
        <v>2.62</v>
      </c>
      <c r="G122" s="94" t="s">
        <v>216</v>
      </c>
    </row>
    <row r="123" spans="1:7" ht="15" customHeight="1" x14ac:dyDescent="0.35">
      <c r="A123" s="96" t="s">
        <v>86</v>
      </c>
      <c r="B123" s="97">
        <v>2017</v>
      </c>
      <c r="C123" s="42">
        <v>2.14</v>
      </c>
      <c r="D123" s="97" t="s">
        <v>72</v>
      </c>
      <c r="E123" s="97" t="s">
        <v>22</v>
      </c>
      <c r="F123" s="42">
        <v>2.46</v>
      </c>
      <c r="G123" s="97" t="s">
        <v>216</v>
      </c>
    </row>
    <row r="124" spans="1:7" ht="15" customHeight="1" x14ac:dyDescent="0.35">
      <c r="A124" s="93" t="s">
        <v>86</v>
      </c>
      <c r="B124" s="94">
        <v>2018</v>
      </c>
      <c r="C124" s="95">
        <v>2.48</v>
      </c>
      <c r="D124" s="94" t="s">
        <v>72</v>
      </c>
      <c r="E124" s="94" t="s">
        <v>22</v>
      </c>
      <c r="F124" s="95">
        <v>2.79</v>
      </c>
      <c r="G124" s="94" t="s">
        <v>216</v>
      </c>
    </row>
    <row r="125" spans="1:7" ht="15" customHeight="1" x14ac:dyDescent="0.35">
      <c r="A125" s="96" t="s">
        <v>86</v>
      </c>
      <c r="B125" s="97">
        <v>2019</v>
      </c>
      <c r="C125" s="42">
        <v>2.25</v>
      </c>
      <c r="D125" s="97" t="s">
        <v>72</v>
      </c>
      <c r="E125" s="97" t="s">
        <v>22</v>
      </c>
      <c r="F125" s="42">
        <v>2.4700000000000002</v>
      </c>
      <c r="G125" s="97" t="s">
        <v>216</v>
      </c>
    </row>
    <row r="126" spans="1:7" ht="15" customHeight="1" x14ac:dyDescent="0.35">
      <c r="A126" s="93" t="s">
        <v>86</v>
      </c>
      <c r="B126" s="94">
        <v>2020</v>
      </c>
      <c r="C126" s="95">
        <v>2.19</v>
      </c>
      <c r="D126" s="94" t="s">
        <v>72</v>
      </c>
      <c r="E126" s="94" t="s">
        <v>22</v>
      </c>
      <c r="F126" s="95">
        <v>2.41</v>
      </c>
      <c r="G126" s="94" t="s">
        <v>216</v>
      </c>
    </row>
    <row r="127" spans="1:7" ht="15" customHeight="1" x14ac:dyDescent="0.35">
      <c r="A127" s="96" t="s">
        <v>86</v>
      </c>
      <c r="B127" s="97">
        <v>2021</v>
      </c>
      <c r="C127" s="42">
        <v>2.35</v>
      </c>
      <c r="D127" s="97" t="s">
        <v>72</v>
      </c>
      <c r="E127" s="97" t="s">
        <v>22</v>
      </c>
      <c r="F127" s="42">
        <v>2.4700000000000002</v>
      </c>
      <c r="G127" s="97" t="s">
        <v>216</v>
      </c>
    </row>
    <row r="128" spans="1:7" ht="15" customHeight="1" x14ac:dyDescent="0.35">
      <c r="A128" s="93" t="s">
        <v>86</v>
      </c>
      <c r="B128" s="94">
        <v>2022</v>
      </c>
      <c r="C128" s="95">
        <v>2.21</v>
      </c>
      <c r="D128" s="94" t="s">
        <v>72</v>
      </c>
      <c r="E128" s="94" t="s">
        <v>22</v>
      </c>
      <c r="F128" s="95">
        <v>2.15</v>
      </c>
      <c r="G128" s="94" t="s">
        <v>216</v>
      </c>
    </row>
    <row r="129" spans="1:7" ht="15" customHeight="1" x14ac:dyDescent="0.35">
      <c r="A129" s="96" t="s">
        <v>86</v>
      </c>
      <c r="B129" s="97">
        <v>2023</v>
      </c>
      <c r="C129" s="42">
        <v>2.17</v>
      </c>
      <c r="D129" s="97" t="s">
        <v>72</v>
      </c>
      <c r="E129" s="97" t="s">
        <v>22</v>
      </c>
      <c r="F129" s="42">
        <v>2.17</v>
      </c>
      <c r="G129" s="97" t="s">
        <v>216</v>
      </c>
    </row>
    <row r="130" spans="1:7" ht="15" customHeight="1" x14ac:dyDescent="0.35">
      <c r="A130" s="93" t="s">
        <v>86</v>
      </c>
      <c r="B130" s="94">
        <v>2024</v>
      </c>
      <c r="C130" s="95">
        <v>2.15</v>
      </c>
      <c r="D130" s="94" t="s">
        <v>72</v>
      </c>
      <c r="E130" s="94" t="s">
        <v>22</v>
      </c>
      <c r="F130" s="95">
        <v>2.09</v>
      </c>
      <c r="G130" s="94" t="s">
        <v>216</v>
      </c>
    </row>
    <row r="131" spans="1:7" ht="15" customHeight="1" x14ac:dyDescent="0.35">
      <c r="A131" s="96" t="s">
        <v>87</v>
      </c>
      <c r="B131" s="97">
        <v>2015</v>
      </c>
      <c r="C131" s="42">
        <v>47.42</v>
      </c>
      <c r="D131" s="97" t="s">
        <v>72</v>
      </c>
      <c r="E131" s="97" t="s">
        <v>22</v>
      </c>
      <c r="F131" s="42">
        <v>56.45</v>
      </c>
      <c r="G131" s="97" t="s">
        <v>216</v>
      </c>
    </row>
    <row r="132" spans="1:7" ht="15" customHeight="1" x14ac:dyDescent="0.35">
      <c r="A132" s="93" t="s">
        <v>87</v>
      </c>
      <c r="B132" s="94">
        <v>2016</v>
      </c>
      <c r="C132" s="95">
        <v>64.02</v>
      </c>
      <c r="D132" s="94" t="s">
        <v>72</v>
      </c>
      <c r="E132" s="94" t="s">
        <v>22</v>
      </c>
      <c r="F132" s="95">
        <v>75.319999999999993</v>
      </c>
      <c r="G132" s="94" t="s">
        <v>216</v>
      </c>
    </row>
    <row r="133" spans="1:7" ht="15" customHeight="1" x14ac:dyDescent="0.35">
      <c r="A133" s="96" t="s">
        <v>87</v>
      </c>
      <c r="B133" s="97">
        <v>2017</v>
      </c>
      <c r="C133" s="42">
        <v>64.14</v>
      </c>
      <c r="D133" s="97" t="s">
        <v>72</v>
      </c>
      <c r="E133" s="97" t="s">
        <v>22</v>
      </c>
      <c r="F133" s="42">
        <v>73.72</v>
      </c>
      <c r="G133" s="97" t="s">
        <v>216</v>
      </c>
    </row>
    <row r="134" spans="1:7" ht="15" customHeight="1" x14ac:dyDescent="0.35">
      <c r="A134" s="93" t="s">
        <v>87</v>
      </c>
      <c r="B134" s="94">
        <v>2018</v>
      </c>
      <c r="C134" s="95">
        <v>78.11</v>
      </c>
      <c r="D134" s="94" t="s">
        <v>72</v>
      </c>
      <c r="E134" s="94" t="s">
        <v>22</v>
      </c>
      <c r="F134" s="95">
        <v>87.76</v>
      </c>
      <c r="G134" s="94" t="s">
        <v>216</v>
      </c>
    </row>
    <row r="135" spans="1:7" ht="15" customHeight="1" x14ac:dyDescent="0.35">
      <c r="A135" s="96" t="s">
        <v>87</v>
      </c>
      <c r="B135" s="97">
        <v>2019</v>
      </c>
      <c r="C135" s="42">
        <v>73.040000000000006</v>
      </c>
      <c r="D135" s="97" t="s">
        <v>72</v>
      </c>
      <c r="E135" s="97" t="s">
        <v>22</v>
      </c>
      <c r="F135" s="42">
        <v>80.260000000000005</v>
      </c>
      <c r="G135" s="97" t="s">
        <v>216</v>
      </c>
    </row>
    <row r="136" spans="1:7" ht="15" customHeight="1" x14ac:dyDescent="0.35">
      <c r="A136" s="93" t="s">
        <v>87</v>
      </c>
      <c r="B136" s="94">
        <v>2020</v>
      </c>
      <c r="C136" s="95">
        <v>71.08</v>
      </c>
      <c r="D136" s="94" t="s">
        <v>72</v>
      </c>
      <c r="E136" s="94" t="s">
        <v>22</v>
      </c>
      <c r="F136" s="95">
        <v>78.11</v>
      </c>
      <c r="G136" s="94" t="s">
        <v>216</v>
      </c>
    </row>
    <row r="137" spans="1:7" ht="15" customHeight="1" x14ac:dyDescent="0.35">
      <c r="A137" s="96" t="s">
        <v>87</v>
      </c>
      <c r="B137" s="97">
        <v>2021</v>
      </c>
      <c r="C137" s="42">
        <v>76.34</v>
      </c>
      <c r="D137" s="97" t="s">
        <v>72</v>
      </c>
      <c r="E137" s="97" t="s">
        <v>22</v>
      </c>
      <c r="F137" s="42">
        <v>80.36</v>
      </c>
      <c r="G137" s="97" t="s">
        <v>216</v>
      </c>
    </row>
    <row r="138" spans="1:7" ht="15" customHeight="1" x14ac:dyDescent="0.35">
      <c r="A138" s="93" t="s">
        <v>87</v>
      </c>
      <c r="B138" s="94">
        <v>2022</v>
      </c>
      <c r="C138" s="95">
        <v>71.84</v>
      </c>
      <c r="D138" s="94" t="s">
        <v>72</v>
      </c>
      <c r="E138" s="94" t="s">
        <v>22</v>
      </c>
      <c r="F138" s="95">
        <v>69.75</v>
      </c>
      <c r="G138" s="94" t="s">
        <v>216</v>
      </c>
    </row>
    <row r="139" spans="1:7" ht="15" customHeight="1" x14ac:dyDescent="0.35">
      <c r="A139" s="96" t="s">
        <v>87</v>
      </c>
      <c r="B139" s="97">
        <v>2023</v>
      </c>
      <c r="C139" s="42">
        <v>70.69</v>
      </c>
      <c r="D139" s="97" t="s">
        <v>72</v>
      </c>
      <c r="E139" s="97" t="s">
        <v>22</v>
      </c>
      <c r="F139" s="42">
        <v>70.69</v>
      </c>
      <c r="G139" s="97" t="s">
        <v>216</v>
      </c>
    </row>
    <row r="140" spans="1:7" ht="15" customHeight="1" x14ac:dyDescent="0.35">
      <c r="A140" s="93" t="s">
        <v>87</v>
      </c>
      <c r="B140" s="94">
        <v>2024</v>
      </c>
      <c r="C140" s="95">
        <v>82.54</v>
      </c>
      <c r="D140" s="94" t="s">
        <v>72</v>
      </c>
      <c r="E140" s="94" t="s">
        <v>22</v>
      </c>
      <c r="F140" s="95">
        <v>80.14</v>
      </c>
      <c r="G140" s="94" t="s">
        <v>216</v>
      </c>
    </row>
    <row r="141" spans="1:7" ht="15" customHeight="1" x14ac:dyDescent="0.35">
      <c r="A141" s="96" t="s">
        <v>88</v>
      </c>
      <c r="B141" s="97">
        <v>2015</v>
      </c>
      <c r="C141" s="42">
        <v>15.59</v>
      </c>
      <c r="D141" s="97" t="s">
        <v>72</v>
      </c>
      <c r="E141" s="97" t="s">
        <v>22</v>
      </c>
      <c r="F141" s="42">
        <v>18.559999999999999</v>
      </c>
      <c r="G141" s="97" t="s">
        <v>216</v>
      </c>
    </row>
    <row r="142" spans="1:7" ht="15" customHeight="1" x14ac:dyDescent="0.35">
      <c r="A142" s="93" t="s">
        <v>88</v>
      </c>
      <c r="B142" s="94">
        <v>2016</v>
      </c>
      <c r="C142" s="95">
        <v>24.56</v>
      </c>
      <c r="D142" s="94" t="s">
        <v>72</v>
      </c>
      <c r="E142" s="94" t="s">
        <v>22</v>
      </c>
      <c r="F142" s="95">
        <v>28.89</v>
      </c>
      <c r="G142" s="94" t="s">
        <v>216</v>
      </c>
    </row>
    <row r="143" spans="1:7" ht="15" customHeight="1" x14ac:dyDescent="0.35">
      <c r="A143" s="96" t="s">
        <v>88</v>
      </c>
      <c r="B143" s="97">
        <v>2017</v>
      </c>
      <c r="C143" s="42">
        <v>32.61</v>
      </c>
      <c r="D143" s="97" t="s">
        <v>72</v>
      </c>
      <c r="E143" s="97" t="s">
        <v>22</v>
      </c>
      <c r="F143" s="42">
        <v>37.479999999999997</v>
      </c>
      <c r="G143" s="97" t="s">
        <v>216</v>
      </c>
    </row>
    <row r="144" spans="1:7" ht="15" customHeight="1" x14ac:dyDescent="0.35">
      <c r="A144" s="93" t="s">
        <v>88</v>
      </c>
      <c r="B144" s="94">
        <v>2018</v>
      </c>
      <c r="C144" s="95">
        <v>55.3</v>
      </c>
      <c r="D144" s="94" t="s">
        <v>72</v>
      </c>
      <c r="E144" s="94" t="s">
        <v>22</v>
      </c>
      <c r="F144" s="95">
        <v>62.13</v>
      </c>
      <c r="G144" s="94" t="s">
        <v>216</v>
      </c>
    </row>
    <row r="145" spans="1:7" ht="15" customHeight="1" x14ac:dyDescent="0.35">
      <c r="A145" s="96" t="s">
        <v>88</v>
      </c>
      <c r="B145" s="97">
        <v>2019</v>
      </c>
      <c r="C145" s="42">
        <v>50.11</v>
      </c>
      <c r="D145" s="97" t="s">
        <v>72</v>
      </c>
      <c r="E145" s="97" t="s">
        <v>22</v>
      </c>
      <c r="F145" s="42">
        <v>55.07</v>
      </c>
      <c r="G145" s="97" t="s">
        <v>216</v>
      </c>
    </row>
    <row r="146" spans="1:7" ht="15" customHeight="1" x14ac:dyDescent="0.35">
      <c r="A146" s="93" t="s">
        <v>88</v>
      </c>
      <c r="B146" s="94">
        <v>2020</v>
      </c>
      <c r="C146" s="95">
        <v>48.77</v>
      </c>
      <c r="D146" s="94" t="s">
        <v>72</v>
      </c>
      <c r="E146" s="94" t="s">
        <v>22</v>
      </c>
      <c r="F146" s="95">
        <v>53.59</v>
      </c>
      <c r="G146" s="94" t="s">
        <v>216</v>
      </c>
    </row>
    <row r="147" spans="1:7" ht="15" customHeight="1" x14ac:dyDescent="0.35">
      <c r="A147" s="96" t="s">
        <v>88</v>
      </c>
      <c r="B147" s="97">
        <v>2021</v>
      </c>
      <c r="C147" s="42">
        <v>52.39</v>
      </c>
      <c r="D147" s="97" t="s">
        <v>72</v>
      </c>
      <c r="E147" s="97" t="s">
        <v>22</v>
      </c>
      <c r="F147" s="42">
        <v>55.15</v>
      </c>
      <c r="G147" s="97" t="s">
        <v>216</v>
      </c>
    </row>
    <row r="148" spans="1:7" ht="15" customHeight="1" x14ac:dyDescent="0.35">
      <c r="A148" s="93" t="s">
        <v>88</v>
      </c>
      <c r="B148" s="94">
        <v>2022</v>
      </c>
      <c r="C148" s="95">
        <v>49.29</v>
      </c>
      <c r="D148" s="94" t="s">
        <v>72</v>
      </c>
      <c r="E148" s="94" t="s">
        <v>22</v>
      </c>
      <c r="F148" s="95">
        <v>47.85</v>
      </c>
      <c r="G148" s="94" t="s">
        <v>216</v>
      </c>
    </row>
    <row r="149" spans="1:7" ht="15" customHeight="1" x14ac:dyDescent="0.35">
      <c r="A149" s="96" t="s">
        <v>88</v>
      </c>
      <c r="B149" s="97">
        <v>2023</v>
      </c>
      <c r="C149" s="42">
        <v>48.5</v>
      </c>
      <c r="D149" s="97" t="s">
        <v>72</v>
      </c>
      <c r="E149" s="97" t="s">
        <v>22</v>
      </c>
      <c r="F149" s="42">
        <v>48.5</v>
      </c>
      <c r="G149" s="97" t="s">
        <v>216</v>
      </c>
    </row>
    <row r="150" spans="1:7" ht="15" customHeight="1" x14ac:dyDescent="0.35">
      <c r="A150" s="93" t="s">
        <v>88</v>
      </c>
      <c r="B150" s="94">
        <v>2024</v>
      </c>
      <c r="C150" s="95">
        <v>47.94</v>
      </c>
      <c r="D150" s="94" t="s">
        <v>72</v>
      </c>
      <c r="E150" s="94" t="s">
        <v>22</v>
      </c>
      <c r="F150" s="95">
        <v>46.54</v>
      </c>
      <c r="G150" s="94" t="s">
        <v>216</v>
      </c>
    </row>
    <row r="151" spans="1:7" ht="15" customHeight="1" x14ac:dyDescent="0.35">
      <c r="A151" s="96" t="s">
        <v>89</v>
      </c>
      <c r="B151" s="97">
        <v>2017</v>
      </c>
      <c r="C151" s="42">
        <v>5.18</v>
      </c>
      <c r="D151" s="97" t="s">
        <v>71</v>
      </c>
      <c r="E151" s="97" t="s">
        <v>20</v>
      </c>
      <c r="F151" s="42">
        <v>5.95</v>
      </c>
      <c r="G151" s="97" t="s">
        <v>216</v>
      </c>
    </row>
    <row r="152" spans="1:7" ht="15" customHeight="1" x14ac:dyDescent="0.35">
      <c r="A152" s="93" t="s">
        <v>89</v>
      </c>
      <c r="B152" s="94">
        <v>2018</v>
      </c>
      <c r="C152" s="95">
        <v>3.18</v>
      </c>
      <c r="D152" s="94" t="s">
        <v>71</v>
      </c>
      <c r="E152" s="94" t="s">
        <v>20</v>
      </c>
      <c r="F152" s="95">
        <v>3.57</v>
      </c>
      <c r="G152" s="94" t="s">
        <v>216</v>
      </c>
    </row>
    <row r="153" spans="1:7" ht="15" customHeight="1" x14ac:dyDescent="0.35">
      <c r="A153" s="96" t="s">
        <v>89</v>
      </c>
      <c r="B153" s="97">
        <v>2019</v>
      </c>
      <c r="C153" s="42">
        <v>1.52</v>
      </c>
      <c r="D153" s="97" t="s">
        <v>71</v>
      </c>
      <c r="E153" s="97" t="s">
        <v>20</v>
      </c>
      <c r="F153" s="42">
        <v>1.67</v>
      </c>
      <c r="G153" s="97" t="s">
        <v>216</v>
      </c>
    </row>
    <row r="154" spans="1:7" ht="15" customHeight="1" x14ac:dyDescent="0.35">
      <c r="A154" s="93" t="s">
        <v>89</v>
      </c>
      <c r="B154" s="94">
        <v>2020</v>
      </c>
      <c r="C154" s="95">
        <v>1.28</v>
      </c>
      <c r="D154" s="94" t="s">
        <v>71</v>
      </c>
      <c r="E154" s="94" t="s">
        <v>20</v>
      </c>
      <c r="F154" s="95">
        <v>1.41</v>
      </c>
      <c r="G154" s="94" t="s">
        <v>216</v>
      </c>
    </row>
    <row r="155" spans="1:7" ht="15" customHeight="1" x14ac:dyDescent="0.35">
      <c r="A155" s="96" t="s">
        <v>89</v>
      </c>
      <c r="B155" s="97">
        <v>2021</v>
      </c>
      <c r="C155" s="42">
        <v>1.25</v>
      </c>
      <c r="D155" s="97" t="s">
        <v>71</v>
      </c>
      <c r="E155" s="97" t="s">
        <v>20</v>
      </c>
      <c r="F155" s="42">
        <v>1.32</v>
      </c>
      <c r="G155" s="97" t="s">
        <v>216</v>
      </c>
    </row>
    <row r="156" spans="1:7" ht="15" customHeight="1" x14ac:dyDescent="0.35">
      <c r="A156" s="93" t="s">
        <v>89</v>
      </c>
      <c r="B156" s="94">
        <v>2022</v>
      </c>
      <c r="C156" s="95">
        <v>1.83</v>
      </c>
      <c r="D156" s="94" t="s">
        <v>71</v>
      </c>
      <c r="E156" s="94" t="s">
        <v>20</v>
      </c>
      <c r="F156" s="95">
        <v>1.78</v>
      </c>
      <c r="G156" s="94" t="s">
        <v>216</v>
      </c>
    </row>
    <row r="157" spans="1:7" ht="15" customHeight="1" x14ac:dyDescent="0.35">
      <c r="A157" s="96" t="s">
        <v>89</v>
      </c>
      <c r="B157" s="97">
        <v>2023</v>
      </c>
      <c r="C157" s="42">
        <v>4.66</v>
      </c>
      <c r="D157" s="97" t="s">
        <v>71</v>
      </c>
      <c r="E157" s="97" t="s">
        <v>20</v>
      </c>
      <c r="F157" s="42">
        <v>4.66</v>
      </c>
      <c r="G157" s="97" t="s">
        <v>216</v>
      </c>
    </row>
    <row r="158" spans="1:7" ht="15" customHeight="1" x14ac:dyDescent="0.35">
      <c r="A158" s="93" t="s">
        <v>89</v>
      </c>
      <c r="B158" s="94">
        <v>2024</v>
      </c>
      <c r="C158" s="95">
        <v>3.75</v>
      </c>
      <c r="D158" s="94" t="s">
        <v>71</v>
      </c>
      <c r="E158" s="94" t="s">
        <v>20</v>
      </c>
      <c r="F158" s="95">
        <v>3.64</v>
      </c>
      <c r="G158" s="94" t="s">
        <v>216</v>
      </c>
    </row>
    <row r="159" spans="1:7" ht="15" customHeight="1" x14ac:dyDescent="0.35">
      <c r="A159" s="96" t="s">
        <v>90</v>
      </c>
      <c r="B159" s="97">
        <v>2021</v>
      </c>
      <c r="C159" s="42">
        <v>29.37</v>
      </c>
      <c r="D159" s="97" t="s">
        <v>71</v>
      </c>
      <c r="E159" s="97" t="s">
        <v>22</v>
      </c>
      <c r="F159" s="42">
        <v>30.92</v>
      </c>
      <c r="G159" s="97" t="s">
        <v>216</v>
      </c>
    </row>
    <row r="160" spans="1:7" ht="15" customHeight="1" x14ac:dyDescent="0.35">
      <c r="A160" s="93" t="s">
        <v>90</v>
      </c>
      <c r="B160" s="94">
        <v>2022</v>
      </c>
      <c r="C160" s="95">
        <v>33.159999999999997</v>
      </c>
      <c r="D160" s="94" t="s">
        <v>71</v>
      </c>
      <c r="E160" s="94" t="s">
        <v>22</v>
      </c>
      <c r="F160" s="95">
        <v>32.19</v>
      </c>
      <c r="G160" s="94" t="s">
        <v>216</v>
      </c>
    </row>
    <row r="161" spans="1:7" ht="15" customHeight="1" x14ac:dyDescent="0.35">
      <c r="A161" s="96" t="s">
        <v>90</v>
      </c>
      <c r="B161" s="97">
        <v>2023</v>
      </c>
      <c r="C161" s="42">
        <v>32.619999999999997</v>
      </c>
      <c r="D161" s="97" t="s">
        <v>71</v>
      </c>
      <c r="E161" s="97" t="s">
        <v>22</v>
      </c>
      <c r="F161" s="42">
        <v>32.619999999999997</v>
      </c>
      <c r="G161" s="97" t="s">
        <v>216</v>
      </c>
    </row>
    <row r="162" spans="1:7" ht="15" customHeight="1" x14ac:dyDescent="0.35">
      <c r="A162" s="93" t="s">
        <v>90</v>
      </c>
      <c r="B162" s="94">
        <v>2024</v>
      </c>
      <c r="C162" s="95">
        <v>48.37</v>
      </c>
      <c r="D162" s="94" t="s">
        <v>71</v>
      </c>
      <c r="E162" s="94" t="s">
        <v>22</v>
      </c>
      <c r="F162" s="95">
        <v>46.96</v>
      </c>
      <c r="G162" s="94" t="s">
        <v>216</v>
      </c>
    </row>
    <row r="163" spans="1:7" ht="15" customHeight="1" x14ac:dyDescent="0.35">
      <c r="A163" s="96" t="s">
        <v>219</v>
      </c>
      <c r="B163" s="97">
        <v>2024</v>
      </c>
      <c r="C163" s="42">
        <v>2.72</v>
      </c>
      <c r="D163" s="97" t="s">
        <v>72</v>
      </c>
      <c r="E163" s="97" t="s">
        <v>24</v>
      </c>
      <c r="F163" s="42">
        <v>2.64</v>
      </c>
      <c r="G163" s="97" t="s">
        <v>216</v>
      </c>
    </row>
    <row r="164" spans="1:7" ht="15" customHeight="1" x14ac:dyDescent="0.35">
      <c r="A164" s="93" t="s">
        <v>91</v>
      </c>
      <c r="B164" s="94">
        <v>2015</v>
      </c>
      <c r="C164" s="95">
        <v>5.48</v>
      </c>
      <c r="D164" s="94" t="s">
        <v>71</v>
      </c>
      <c r="E164" s="94" t="s">
        <v>20</v>
      </c>
      <c r="F164" s="95">
        <v>6.52</v>
      </c>
      <c r="G164" s="94" t="s">
        <v>216</v>
      </c>
    </row>
    <row r="165" spans="1:7" ht="15" customHeight="1" x14ac:dyDescent="0.35">
      <c r="A165" s="96" t="s">
        <v>91</v>
      </c>
      <c r="B165" s="97">
        <v>2016</v>
      </c>
      <c r="C165" s="42">
        <v>1.32</v>
      </c>
      <c r="D165" s="97" t="s">
        <v>71</v>
      </c>
      <c r="E165" s="97" t="s">
        <v>20</v>
      </c>
      <c r="F165" s="42">
        <v>1.55</v>
      </c>
      <c r="G165" s="97" t="s">
        <v>216</v>
      </c>
    </row>
    <row r="166" spans="1:7" ht="15" customHeight="1" x14ac:dyDescent="0.35">
      <c r="A166" s="93" t="s">
        <v>91</v>
      </c>
      <c r="B166" s="94">
        <v>2017</v>
      </c>
      <c r="C166" s="95">
        <v>1.88</v>
      </c>
      <c r="D166" s="94" t="s">
        <v>71</v>
      </c>
      <c r="E166" s="94" t="s">
        <v>20</v>
      </c>
      <c r="F166" s="95">
        <v>2.16</v>
      </c>
      <c r="G166" s="94" t="s">
        <v>216</v>
      </c>
    </row>
    <row r="167" spans="1:7" ht="15" customHeight="1" x14ac:dyDescent="0.35">
      <c r="A167" s="96" t="s">
        <v>91</v>
      </c>
      <c r="B167" s="97">
        <v>2018</v>
      </c>
      <c r="C167" s="42">
        <v>2.3199999999999998</v>
      </c>
      <c r="D167" s="97" t="s">
        <v>71</v>
      </c>
      <c r="E167" s="97" t="s">
        <v>20</v>
      </c>
      <c r="F167" s="42">
        <v>2.61</v>
      </c>
      <c r="G167" s="97" t="s">
        <v>216</v>
      </c>
    </row>
    <row r="168" spans="1:7" ht="15" customHeight="1" x14ac:dyDescent="0.35">
      <c r="A168" s="93" t="s">
        <v>91</v>
      </c>
      <c r="B168" s="94">
        <v>2019</v>
      </c>
      <c r="C168" s="95">
        <v>2.92</v>
      </c>
      <c r="D168" s="94" t="s">
        <v>71</v>
      </c>
      <c r="E168" s="94" t="s">
        <v>20</v>
      </c>
      <c r="F168" s="95">
        <v>3.21</v>
      </c>
      <c r="G168" s="94" t="s">
        <v>216</v>
      </c>
    </row>
    <row r="169" spans="1:7" ht="15" customHeight="1" x14ac:dyDescent="0.35">
      <c r="A169" s="96" t="s">
        <v>91</v>
      </c>
      <c r="B169" s="97">
        <v>2020</v>
      </c>
      <c r="C169" s="42">
        <v>4.13</v>
      </c>
      <c r="D169" s="97" t="s">
        <v>71</v>
      </c>
      <c r="E169" s="97" t="s">
        <v>20</v>
      </c>
      <c r="F169" s="42">
        <v>4.54</v>
      </c>
      <c r="G169" s="97" t="s">
        <v>216</v>
      </c>
    </row>
    <row r="170" spans="1:7" ht="15" customHeight="1" x14ac:dyDescent="0.35">
      <c r="A170" s="93" t="s">
        <v>91</v>
      </c>
      <c r="B170" s="94">
        <v>2021</v>
      </c>
      <c r="C170" s="95">
        <v>5.72</v>
      </c>
      <c r="D170" s="94" t="s">
        <v>71</v>
      </c>
      <c r="E170" s="94" t="s">
        <v>20</v>
      </c>
      <c r="F170" s="95">
        <v>6.02</v>
      </c>
      <c r="G170" s="94" t="s">
        <v>216</v>
      </c>
    </row>
    <row r="171" spans="1:7" ht="15" customHeight="1" x14ac:dyDescent="0.35">
      <c r="A171" s="96" t="s">
        <v>91</v>
      </c>
      <c r="B171" s="97">
        <v>2022</v>
      </c>
      <c r="C171" s="42">
        <v>12.51</v>
      </c>
      <c r="D171" s="97" t="s">
        <v>71</v>
      </c>
      <c r="E171" s="97" t="s">
        <v>20</v>
      </c>
      <c r="F171" s="42">
        <v>12.15</v>
      </c>
      <c r="G171" s="97" t="s">
        <v>216</v>
      </c>
    </row>
    <row r="172" spans="1:7" ht="15" customHeight="1" x14ac:dyDescent="0.35">
      <c r="A172" s="93" t="s">
        <v>91</v>
      </c>
      <c r="B172" s="94">
        <v>2023</v>
      </c>
      <c r="C172" s="95">
        <v>12.34</v>
      </c>
      <c r="D172" s="94" t="s">
        <v>71</v>
      </c>
      <c r="E172" s="94" t="s">
        <v>20</v>
      </c>
      <c r="F172" s="95">
        <v>12.34</v>
      </c>
      <c r="G172" s="94" t="s">
        <v>216</v>
      </c>
    </row>
    <row r="173" spans="1:7" ht="15" customHeight="1" x14ac:dyDescent="0.35">
      <c r="A173" s="96" t="s">
        <v>91</v>
      </c>
      <c r="B173" s="97">
        <v>2024</v>
      </c>
      <c r="C173" s="42">
        <v>8.94</v>
      </c>
      <c r="D173" s="97" t="s">
        <v>71</v>
      </c>
      <c r="E173" s="97" t="s">
        <v>20</v>
      </c>
      <c r="F173" s="42">
        <v>8.68</v>
      </c>
      <c r="G173" s="97" t="s">
        <v>216</v>
      </c>
    </row>
    <row r="174" spans="1:7" ht="15" customHeight="1" x14ac:dyDescent="0.35">
      <c r="A174" s="93" t="s">
        <v>92</v>
      </c>
      <c r="B174" s="94">
        <v>2015</v>
      </c>
      <c r="C174" s="95">
        <v>4.18</v>
      </c>
      <c r="D174" s="94" t="s">
        <v>71</v>
      </c>
      <c r="E174" s="94" t="s">
        <v>20</v>
      </c>
      <c r="F174" s="95">
        <v>4.9800000000000004</v>
      </c>
      <c r="G174" s="94" t="s">
        <v>216</v>
      </c>
    </row>
    <row r="175" spans="1:7" ht="15" customHeight="1" x14ac:dyDescent="0.35">
      <c r="A175" s="96" t="s">
        <v>92</v>
      </c>
      <c r="B175" s="97">
        <v>2016</v>
      </c>
      <c r="C175" s="42">
        <v>2.11</v>
      </c>
      <c r="D175" s="97" t="s">
        <v>71</v>
      </c>
      <c r="E175" s="97" t="s">
        <v>20</v>
      </c>
      <c r="F175" s="42">
        <v>2.48</v>
      </c>
      <c r="G175" s="97" t="s">
        <v>216</v>
      </c>
    </row>
    <row r="176" spans="1:7" ht="15" customHeight="1" x14ac:dyDescent="0.35">
      <c r="A176" s="93" t="s">
        <v>92</v>
      </c>
      <c r="B176" s="94">
        <v>2017</v>
      </c>
      <c r="C176" s="95">
        <v>1.78</v>
      </c>
      <c r="D176" s="94" t="s">
        <v>71</v>
      </c>
      <c r="E176" s="94" t="s">
        <v>20</v>
      </c>
      <c r="F176" s="95">
        <v>2.0499999999999998</v>
      </c>
      <c r="G176" s="94" t="s">
        <v>216</v>
      </c>
    </row>
    <row r="177" spans="1:7" ht="15" customHeight="1" x14ac:dyDescent="0.35">
      <c r="A177" s="96" t="s">
        <v>92</v>
      </c>
      <c r="B177" s="97">
        <v>2018</v>
      </c>
      <c r="C177" s="42">
        <v>2.3199999999999998</v>
      </c>
      <c r="D177" s="97" t="s">
        <v>71</v>
      </c>
      <c r="E177" s="97" t="s">
        <v>20</v>
      </c>
      <c r="F177" s="42">
        <v>2.61</v>
      </c>
      <c r="G177" s="97" t="s">
        <v>216</v>
      </c>
    </row>
    <row r="178" spans="1:7" ht="15" customHeight="1" x14ac:dyDescent="0.35">
      <c r="A178" s="93" t="s">
        <v>92</v>
      </c>
      <c r="B178" s="94">
        <v>2019</v>
      </c>
      <c r="C178" s="95">
        <v>4.13</v>
      </c>
      <c r="D178" s="94" t="s">
        <v>71</v>
      </c>
      <c r="E178" s="94" t="s">
        <v>20</v>
      </c>
      <c r="F178" s="95">
        <v>4.54</v>
      </c>
      <c r="G178" s="94" t="s">
        <v>216</v>
      </c>
    </row>
    <row r="179" spans="1:7" ht="15" customHeight="1" x14ac:dyDescent="0.35">
      <c r="A179" s="96" t="s">
        <v>92</v>
      </c>
      <c r="B179" s="97">
        <v>2020</v>
      </c>
      <c r="C179" s="42">
        <v>3.57</v>
      </c>
      <c r="D179" s="97" t="s">
        <v>71</v>
      </c>
      <c r="E179" s="97" t="s">
        <v>20</v>
      </c>
      <c r="F179" s="42">
        <v>3.92</v>
      </c>
      <c r="G179" s="97" t="s">
        <v>216</v>
      </c>
    </row>
    <row r="180" spans="1:7" ht="15" customHeight="1" x14ac:dyDescent="0.35">
      <c r="A180" s="93" t="s">
        <v>92</v>
      </c>
      <c r="B180" s="94">
        <v>2021</v>
      </c>
      <c r="C180" s="95">
        <v>4.41</v>
      </c>
      <c r="D180" s="94" t="s">
        <v>71</v>
      </c>
      <c r="E180" s="94" t="s">
        <v>20</v>
      </c>
      <c r="F180" s="95">
        <v>4.6399999999999997</v>
      </c>
      <c r="G180" s="94" t="s">
        <v>216</v>
      </c>
    </row>
    <row r="181" spans="1:7" ht="15" customHeight="1" x14ac:dyDescent="0.35">
      <c r="A181" s="96" t="s">
        <v>92</v>
      </c>
      <c r="B181" s="97">
        <v>2022</v>
      </c>
      <c r="C181" s="42">
        <v>7.24</v>
      </c>
      <c r="D181" s="97" t="s">
        <v>71</v>
      </c>
      <c r="E181" s="97" t="s">
        <v>20</v>
      </c>
      <c r="F181" s="42">
        <v>7.03</v>
      </c>
      <c r="G181" s="97" t="s">
        <v>216</v>
      </c>
    </row>
    <row r="182" spans="1:7" ht="15" customHeight="1" x14ac:dyDescent="0.35">
      <c r="A182" s="93" t="s">
        <v>92</v>
      </c>
      <c r="B182" s="94">
        <v>2023</v>
      </c>
      <c r="C182" s="95">
        <v>6.96</v>
      </c>
      <c r="D182" s="94" t="s">
        <v>71</v>
      </c>
      <c r="E182" s="94" t="s">
        <v>20</v>
      </c>
      <c r="F182" s="95">
        <v>6.96</v>
      </c>
      <c r="G182" s="94" t="s">
        <v>216</v>
      </c>
    </row>
    <row r="183" spans="1:7" ht="15" customHeight="1" x14ac:dyDescent="0.35">
      <c r="A183" s="96" t="s">
        <v>92</v>
      </c>
      <c r="B183" s="97">
        <v>2024</v>
      </c>
      <c r="C183" s="42">
        <v>5.62</v>
      </c>
      <c r="D183" s="97" t="s">
        <v>71</v>
      </c>
      <c r="E183" s="97" t="s">
        <v>20</v>
      </c>
      <c r="F183" s="42">
        <v>5.46</v>
      </c>
      <c r="G183" s="97" t="s">
        <v>216</v>
      </c>
    </row>
    <row r="184" spans="1:7" ht="15" customHeight="1" x14ac:dyDescent="0.35">
      <c r="A184" s="93" t="s">
        <v>220</v>
      </c>
      <c r="B184" s="94">
        <v>2024</v>
      </c>
      <c r="C184" s="95">
        <v>38.700000000000003</v>
      </c>
      <c r="D184" s="94" t="s">
        <v>72</v>
      </c>
      <c r="E184" s="94" t="s">
        <v>22</v>
      </c>
      <c r="F184" s="95">
        <v>37.57</v>
      </c>
      <c r="G184" s="94" t="s">
        <v>216</v>
      </c>
    </row>
    <row r="185" spans="1:7" ht="15" customHeight="1" x14ac:dyDescent="0.35">
      <c r="A185" s="96" t="s">
        <v>93</v>
      </c>
      <c r="B185" s="97">
        <v>2015</v>
      </c>
      <c r="C185" s="42">
        <v>16.600000000000001</v>
      </c>
      <c r="D185" s="97" t="s">
        <v>72</v>
      </c>
      <c r="E185" s="97" t="s">
        <v>22</v>
      </c>
      <c r="F185" s="42">
        <v>19.760000000000002</v>
      </c>
      <c r="G185" s="97" t="s">
        <v>216</v>
      </c>
    </row>
    <row r="186" spans="1:7" ht="15" customHeight="1" x14ac:dyDescent="0.35">
      <c r="A186" s="93" t="s">
        <v>93</v>
      </c>
      <c r="B186" s="94">
        <v>2016</v>
      </c>
      <c r="C186" s="95">
        <v>19</v>
      </c>
      <c r="D186" s="94" t="s">
        <v>72</v>
      </c>
      <c r="E186" s="94" t="s">
        <v>22</v>
      </c>
      <c r="F186" s="95">
        <v>22.35</v>
      </c>
      <c r="G186" s="94" t="s">
        <v>216</v>
      </c>
    </row>
    <row r="187" spans="1:7" ht="15" customHeight="1" x14ac:dyDescent="0.35">
      <c r="A187" s="96" t="s">
        <v>93</v>
      </c>
      <c r="B187" s="97">
        <v>2017</v>
      </c>
      <c r="C187" s="42">
        <v>21.64</v>
      </c>
      <c r="D187" s="97" t="s">
        <v>72</v>
      </c>
      <c r="E187" s="97" t="s">
        <v>22</v>
      </c>
      <c r="F187" s="42">
        <v>24.87</v>
      </c>
      <c r="G187" s="97" t="s">
        <v>216</v>
      </c>
    </row>
    <row r="188" spans="1:7" ht="15" customHeight="1" x14ac:dyDescent="0.35">
      <c r="A188" s="93" t="s">
        <v>93</v>
      </c>
      <c r="B188" s="94">
        <v>2018</v>
      </c>
      <c r="C188" s="95">
        <v>37.479999999999997</v>
      </c>
      <c r="D188" s="94" t="s">
        <v>72</v>
      </c>
      <c r="E188" s="94" t="s">
        <v>22</v>
      </c>
      <c r="F188" s="95">
        <v>42.11</v>
      </c>
      <c r="G188" s="94" t="s">
        <v>216</v>
      </c>
    </row>
    <row r="189" spans="1:7" ht="15" customHeight="1" x14ac:dyDescent="0.35">
      <c r="A189" s="96" t="s">
        <v>93</v>
      </c>
      <c r="B189" s="97">
        <v>2019</v>
      </c>
      <c r="C189" s="42">
        <v>36.24</v>
      </c>
      <c r="D189" s="97" t="s">
        <v>72</v>
      </c>
      <c r="E189" s="97" t="s">
        <v>22</v>
      </c>
      <c r="F189" s="42">
        <v>39.82</v>
      </c>
      <c r="G189" s="97" t="s">
        <v>216</v>
      </c>
    </row>
    <row r="190" spans="1:7" ht="15" customHeight="1" x14ac:dyDescent="0.35">
      <c r="A190" s="93" t="s">
        <v>93</v>
      </c>
      <c r="B190" s="94">
        <v>2020</v>
      </c>
      <c r="C190" s="95">
        <v>21.15</v>
      </c>
      <c r="D190" s="94" t="s">
        <v>72</v>
      </c>
      <c r="E190" s="94" t="s">
        <v>22</v>
      </c>
      <c r="F190" s="95">
        <v>23.24</v>
      </c>
      <c r="G190" s="94" t="s">
        <v>216</v>
      </c>
    </row>
    <row r="191" spans="1:7" ht="15" customHeight="1" x14ac:dyDescent="0.35">
      <c r="A191" s="96" t="s">
        <v>93</v>
      </c>
      <c r="B191" s="97">
        <v>2021</v>
      </c>
      <c r="C191" s="42">
        <v>23.7</v>
      </c>
      <c r="D191" s="97" t="s">
        <v>72</v>
      </c>
      <c r="E191" s="97" t="s">
        <v>22</v>
      </c>
      <c r="F191" s="42">
        <v>24.95</v>
      </c>
      <c r="G191" s="97" t="s">
        <v>216</v>
      </c>
    </row>
    <row r="192" spans="1:7" ht="15" customHeight="1" x14ac:dyDescent="0.35">
      <c r="A192" s="93" t="s">
        <v>93</v>
      </c>
      <c r="B192" s="94">
        <v>2022</v>
      </c>
      <c r="C192" s="95">
        <v>24.23</v>
      </c>
      <c r="D192" s="94" t="s">
        <v>72</v>
      </c>
      <c r="E192" s="94" t="s">
        <v>22</v>
      </c>
      <c r="F192" s="95">
        <v>23.52</v>
      </c>
      <c r="G192" s="94" t="s">
        <v>216</v>
      </c>
    </row>
    <row r="193" spans="1:7" ht="15" customHeight="1" x14ac:dyDescent="0.35">
      <c r="A193" s="96" t="s">
        <v>93</v>
      </c>
      <c r="B193" s="97">
        <v>2023</v>
      </c>
      <c r="C193" s="42">
        <v>24.15</v>
      </c>
      <c r="D193" s="97" t="s">
        <v>72</v>
      </c>
      <c r="E193" s="97" t="s">
        <v>22</v>
      </c>
      <c r="F193" s="42">
        <v>24.15</v>
      </c>
      <c r="G193" s="97" t="s">
        <v>216</v>
      </c>
    </row>
    <row r="194" spans="1:7" ht="15" customHeight="1" x14ac:dyDescent="0.35">
      <c r="A194" s="93" t="s">
        <v>93</v>
      </c>
      <c r="B194" s="94">
        <v>2024</v>
      </c>
      <c r="C194" s="95">
        <v>24.22</v>
      </c>
      <c r="D194" s="94" t="s">
        <v>72</v>
      </c>
      <c r="E194" s="94" t="s">
        <v>22</v>
      </c>
      <c r="F194" s="95">
        <v>23.51</v>
      </c>
      <c r="G194" s="94" t="s">
        <v>216</v>
      </c>
    </row>
    <row r="195" spans="1:7" ht="15" customHeight="1" x14ac:dyDescent="0.35">
      <c r="A195" s="96" t="s">
        <v>221</v>
      </c>
      <c r="B195" s="97">
        <v>2024</v>
      </c>
      <c r="C195" s="42">
        <v>0.61</v>
      </c>
      <c r="D195" s="97" t="s">
        <v>71</v>
      </c>
      <c r="E195" s="97" t="s">
        <v>20</v>
      </c>
      <c r="F195" s="42">
        <v>0.59</v>
      </c>
      <c r="G195" s="97" t="s">
        <v>216</v>
      </c>
    </row>
    <row r="196" spans="1:7" ht="15" customHeight="1" x14ac:dyDescent="0.35">
      <c r="A196" s="93" t="s">
        <v>94</v>
      </c>
      <c r="B196" s="94">
        <v>2015</v>
      </c>
      <c r="C196" s="95">
        <v>21.51</v>
      </c>
      <c r="D196" s="94" t="s">
        <v>72</v>
      </c>
      <c r="E196" s="94" t="s">
        <v>22</v>
      </c>
      <c r="F196" s="95">
        <v>25.61</v>
      </c>
      <c r="G196" s="94" t="s">
        <v>216</v>
      </c>
    </row>
    <row r="197" spans="1:7" ht="15" customHeight="1" x14ac:dyDescent="0.35">
      <c r="A197" s="96" t="s">
        <v>94</v>
      </c>
      <c r="B197" s="97">
        <v>2016</v>
      </c>
      <c r="C197" s="42">
        <v>22.32</v>
      </c>
      <c r="D197" s="97" t="s">
        <v>72</v>
      </c>
      <c r="E197" s="97" t="s">
        <v>22</v>
      </c>
      <c r="F197" s="42">
        <v>26.26</v>
      </c>
      <c r="G197" s="97" t="s">
        <v>216</v>
      </c>
    </row>
    <row r="198" spans="1:7" ht="15" customHeight="1" x14ac:dyDescent="0.35">
      <c r="A198" s="93" t="s">
        <v>94</v>
      </c>
      <c r="B198" s="94">
        <v>2017</v>
      </c>
      <c r="C198" s="95">
        <v>21.38</v>
      </c>
      <c r="D198" s="94" t="s">
        <v>72</v>
      </c>
      <c r="E198" s="94" t="s">
        <v>22</v>
      </c>
      <c r="F198" s="95">
        <v>24.57</v>
      </c>
      <c r="G198" s="94" t="s">
        <v>216</v>
      </c>
    </row>
    <row r="199" spans="1:7" ht="15" customHeight="1" x14ac:dyDescent="0.35">
      <c r="A199" s="96" t="s">
        <v>94</v>
      </c>
      <c r="B199" s="97">
        <v>2018</v>
      </c>
      <c r="C199" s="42">
        <v>24.8</v>
      </c>
      <c r="D199" s="97" t="s">
        <v>72</v>
      </c>
      <c r="E199" s="97" t="s">
        <v>22</v>
      </c>
      <c r="F199" s="42">
        <v>27.87</v>
      </c>
      <c r="G199" s="97" t="s">
        <v>216</v>
      </c>
    </row>
    <row r="200" spans="1:7" ht="15" customHeight="1" x14ac:dyDescent="0.35">
      <c r="A200" s="93" t="s">
        <v>94</v>
      </c>
      <c r="B200" s="94">
        <v>2019</v>
      </c>
      <c r="C200" s="95">
        <v>22.47</v>
      </c>
      <c r="D200" s="94" t="s">
        <v>72</v>
      </c>
      <c r="E200" s="94" t="s">
        <v>22</v>
      </c>
      <c r="F200" s="95">
        <v>24.69</v>
      </c>
      <c r="G200" s="94" t="s">
        <v>216</v>
      </c>
    </row>
    <row r="201" spans="1:7" ht="15" customHeight="1" x14ac:dyDescent="0.35">
      <c r="A201" s="96" t="s">
        <v>94</v>
      </c>
      <c r="B201" s="97">
        <v>2020</v>
      </c>
      <c r="C201" s="42">
        <v>28.43</v>
      </c>
      <c r="D201" s="97" t="s">
        <v>72</v>
      </c>
      <c r="E201" s="97" t="s">
        <v>22</v>
      </c>
      <c r="F201" s="42">
        <v>31.24</v>
      </c>
      <c r="G201" s="97" t="s">
        <v>216</v>
      </c>
    </row>
    <row r="202" spans="1:7" ht="15" customHeight="1" x14ac:dyDescent="0.35">
      <c r="A202" s="93" t="s">
        <v>94</v>
      </c>
      <c r="B202" s="94">
        <v>2021</v>
      </c>
      <c r="C202" s="95">
        <v>39.35</v>
      </c>
      <c r="D202" s="94" t="s">
        <v>72</v>
      </c>
      <c r="E202" s="94" t="s">
        <v>22</v>
      </c>
      <c r="F202" s="95">
        <v>41.42</v>
      </c>
      <c r="G202" s="94" t="s">
        <v>216</v>
      </c>
    </row>
    <row r="203" spans="1:7" ht="15" customHeight="1" x14ac:dyDescent="0.35">
      <c r="A203" s="96" t="s">
        <v>94</v>
      </c>
      <c r="B203" s="97">
        <v>2022</v>
      </c>
      <c r="C203" s="42">
        <v>45.31</v>
      </c>
      <c r="D203" s="97" t="s">
        <v>72</v>
      </c>
      <c r="E203" s="97" t="s">
        <v>22</v>
      </c>
      <c r="F203" s="42">
        <v>43.99</v>
      </c>
      <c r="G203" s="97" t="s">
        <v>216</v>
      </c>
    </row>
    <row r="204" spans="1:7" ht="15" customHeight="1" x14ac:dyDescent="0.35">
      <c r="A204" s="93" t="s">
        <v>94</v>
      </c>
      <c r="B204" s="94">
        <v>2023</v>
      </c>
      <c r="C204" s="95">
        <v>52.74</v>
      </c>
      <c r="D204" s="94" t="s">
        <v>72</v>
      </c>
      <c r="E204" s="94" t="s">
        <v>22</v>
      </c>
      <c r="F204" s="95">
        <v>52.74</v>
      </c>
      <c r="G204" s="94" t="s">
        <v>216</v>
      </c>
    </row>
    <row r="205" spans="1:7" ht="15" customHeight="1" x14ac:dyDescent="0.35">
      <c r="A205" s="96" t="s">
        <v>94</v>
      </c>
      <c r="B205" s="97">
        <v>2024</v>
      </c>
      <c r="C205" s="42">
        <v>60.19</v>
      </c>
      <c r="D205" s="97" t="s">
        <v>72</v>
      </c>
      <c r="E205" s="97" t="s">
        <v>22</v>
      </c>
      <c r="F205" s="42">
        <v>58.44</v>
      </c>
      <c r="G205" s="97" t="s">
        <v>216</v>
      </c>
    </row>
    <row r="206" spans="1:7" ht="15" customHeight="1" x14ac:dyDescent="0.35">
      <c r="A206" s="93" t="s">
        <v>95</v>
      </c>
      <c r="B206" s="94">
        <v>2015</v>
      </c>
      <c r="C206" s="95">
        <v>1.59</v>
      </c>
      <c r="D206" s="94" t="s">
        <v>72</v>
      </c>
      <c r="E206" s="94" t="s">
        <v>20</v>
      </c>
      <c r="F206" s="95">
        <v>1.89</v>
      </c>
      <c r="G206" s="94" t="s">
        <v>216</v>
      </c>
    </row>
    <row r="207" spans="1:7" ht="15" customHeight="1" x14ac:dyDescent="0.35">
      <c r="A207" s="96" t="s">
        <v>95</v>
      </c>
      <c r="B207" s="97">
        <v>2016</v>
      </c>
      <c r="C207" s="42">
        <v>2.82</v>
      </c>
      <c r="D207" s="97" t="s">
        <v>72</v>
      </c>
      <c r="E207" s="97" t="s">
        <v>20</v>
      </c>
      <c r="F207" s="42">
        <v>3.32</v>
      </c>
      <c r="G207" s="97" t="s">
        <v>216</v>
      </c>
    </row>
    <row r="208" spans="1:7" ht="15" customHeight="1" x14ac:dyDescent="0.35">
      <c r="A208" s="93" t="s">
        <v>95</v>
      </c>
      <c r="B208" s="94">
        <v>2017</v>
      </c>
      <c r="C208" s="95">
        <v>2.58</v>
      </c>
      <c r="D208" s="94" t="s">
        <v>72</v>
      </c>
      <c r="E208" s="94" t="s">
        <v>20</v>
      </c>
      <c r="F208" s="95">
        <v>2.97</v>
      </c>
      <c r="G208" s="94" t="s">
        <v>216</v>
      </c>
    </row>
    <row r="209" spans="1:7" ht="15" customHeight="1" x14ac:dyDescent="0.35">
      <c r="A209" s="96" t="s">
        <v>95</v>
      </c>
      <c r="B209" s="97">
        <v>2018</v>
      </c>
      <c r="C209" s="42">
        <v>2.74</v>
      </c>
      <c r="D209" s="97" t="s">
        <v>72</v>
      </c>
      <c r="E209" s="97" t="s">
        <v>20</v>
      </c>
      <c r="F209" s="42">
        <v>3.08</v>
      </c>
      <c r="G209" s="97" t="s">
        <v>216</v>
      </c>
    </row>
    <row r="210" spans="1:7" ht="15" customHeight="1" x14ac:dyDescent="0.35">
      <c r="A210" s="93" t="s">
        <v>95</v>
      </c>
      <c r="B210" s="94">
        <v>2019</v>
      </c>
      <c r="C210" s="95">
        <v>2.6</v>
      </c>
      <c r="D210" s="94" t="s">
        <v>72</v>
      </c>
      <c r="E210" s="94" t="s">
        <v>20</v>
      </c>
      <c r="F210" s="95">
        <v>2.86</v>
      </c>
      <c r="G210" s="94" t="s">
        <v>216</v>
      </c>
    </row>
    <row r="211" spans="1:7" ht="15" customHeight="1" x14ac:dyDescent="0.35">
      <c r="A211" s="96" t="s">
        <v>95</v>
      </c>
      <c r="B211" s="97">
        <v>2020</v>
      </c>
      <c r="C211" s="42">
        <v>2.69</v>
      </c>
      <c r="D211" s="97" t="s">
        <v>72</v>
      </c>
      <c r="E211" s="97" t="s">
        <v>20</v>
      </c>
      <c r="F211" s="42">
        <v>2.96</v>
      </c>
      <c r="G211" s="97" t="s">
        <v>216</v>
      </c>
    </row>
    <row r="212" spans="1:7" ht="15" customHeight="1" x14ac:dyDescent="0.35">
      <c r="A212" s="93" t="s">
        <v>95</v>
      </c>
      <c r="B212" s="94">
        <v>2021</v>
      </c>
      <c r="C212" s="95">
        <v>2.61</v>
      </c>
      <c r="D212" s="94" t="s">
        <v>72</v>
      </c>
      <c r="E212" s="94" t="s">
        <v>20</v>
      </c>
      <c r="F212" s="95">
        <v>2.75</v>
      </c>
      <c r="G212" s="94" t="s">
        <v>216</v>
      </c>
    </row>
    <row r="213" spans="1:7" ht="15" customHeight="1" x14ac:dyDescent="0.35">
      <c r="A213" s="96" t="s">
        <v>95</v>
      </c>
      <c r="B213" s="97">
        <v>2022</v>
      </c>
      <c r="C213" s="42">
        <v>2.36</v>
      </c>
      <c r="D213" s="97" t="s">
        <v>72</v>
      </c>
      <c r="E213" s="97" t="s">
        <v>20</v>
      </c>
      <c r="F213" s="42">
        <v>2.29</v>
      </c>
      <c r="G213" s="97" t="s">
        <v>216</v>
      </c>
    </row>
    <row r="214" spans="1:7" ht="15" customHeight="1" x14ac:dyDescent="0.35">
      <c r="A214" s="93" t="s">
        <v>95</v>
      </c>
      <c r="B214" s="94">
        <v>2023</v>
      </c>
      <c r="C214" s="95">
        <v>2.17</v>
      </c>
      <c r="D214" s="94" t="s">
        <v>72</v>
      </c>
      <c r="E214" s="94" t="s">
        <v>20</v>
      </c>
      <c r="F214" s="95">
        <v>2.17</v>
      </c>
      <c r="G214" s="94" t="s">
        <v>216</v>
      </c>
    </row>
    <row r="215" spans="1:7" ht="15" customHeight="1" x14ac:dyDescent="0.35">
      <c r="A215" s="96" t="s">
        <v>95</v>
      </c>
      <c r="B215" s="97">
        <v>2024</v>
      </c>
      <c r="C215" s="42">
        <v>1.91</v>
      </c>
      <c r="D215" s="97" t="s">
        <v>72</v>
      </c>
      <c r="E215" s="97" t="s">
        <v>20</v>
      </c>
      <c r="F215" s="42">
        <v>1.85</v>
      </c>
      <c r="G215" s="97" t="s">
        <v>216</v>
      </c>
    </row>
    <row r="216" spans="1:7" ht="15" customHeight="1" x14ac:dyDescent="0.35">
      <c r="A216" s="93" t="s">
        <v>96</v>
      </c>
      <c r="B216" s="94">
        <v>2015</v>
      </c>
      <c r="C216" s="95">
        <v>2.04</v>
      </c>
      <c r="D216" s="94" t="s">
        <v>71</v>
      </c>
      <c r="E216" s="94" t="s">
        <v>20</v>
      </c>
      <c r="F216" s="95">
        <v>2.4300000000000002</v>
      </c>
      <c r="G216" s="94" t="s">
        <v>216</v>
      </c>
    </row>
    <row r="217" spans="1:7" ht="15" customHeight="1" x14ac:dyDescent="0.35">
      <c r="A217" s="96" t="s">
        <v>96</v>
      </c>
      <c r="B217" s="97">
        <v>2020</v>
      </c>
      <c r="C217" s="42">
        <v>1.1100000000000001</v>
      </c>
      <c r="D217" s="97" t="s">
        <v>71</v>
      </c>
      <c r="E217" s="97" t="s">
        <v>20</v>
      </c>
      <c r="F217" s="42">
        <v>1.22</v>
      </c>
      <c r="G217" s="97" t="s">
        <v>216</v>
      </c>
    </row>
    <row r="218" spans="1:7" ht="15" customHeight="1" x14ac:dyDescent="0.35">
      <c r="A218" s="93" t="s">
        <v>96</v>
      </c>
      <c r="B218" s="94">
        <v>2021</v>
      </c>
      <c r="C218" s="95">
        <v>1.18</v>
      </c>
      <c r="D218" s="94" t="s">
        <v>71</v>
      </c>
      <c r="E218" s="94" t="s">
        <v>20</v>
      </c>
      <c r="F218" s="95">
        <v>1.24</v>
      </c>
      <c r="G218" s="94" t="s">
        <v>216</v>
      </c>
    </row>
    <row r="219" spans="1:7" ht="15" customHeight="1" x14ac:dyDescent="0.35">
      <c r="A219" s="96" t="s">
        <v>96</v>
      </c>
      <c r="B219" s="97">
        <v>2022</v>
      </c>
      <c r="C219" s="42">
        <v>1.08</v>
      </c>
      <c r="D219" s="97" t="s">
        <v>71</v>
      </c>
      <c r="E219" s="97" t="s">
        <v>20</v>
      </c>
      <c r="F219" s="42">
        <v>1.05</v>
      </c>
      <c r="G219" s="97" t="s">
        <v>216</v>
      </c>
    </row>
    <row r="220" spans="1:7" ht="15" customHeight="1" x14ac:dyDescent="0.35">
      <c r="A220" s="93" t="s">
        <v>96</v>
      </c>
      <c r="B220" s="94">
        <v>2023</v>
      </c>
      <c r="C220" s="95">
        <v>1.1200000000000001</v>
      </c>
      <c r="D220" s="94" t="s">
        <v>71</v>
      </c>
      <c r="E220" s="94" t="s">
        <v>20</v>
      </c>
      <c r="F220" s="95">
        <v>1.1200000000000001</v>
      </c>
      <c r="G220" s="94" t="s">
        <v>216</v>
      </c>
    </row>
    <row r="221" spans="1:7" ht="15" customHeight="1" x14ac:dyDescent="0.35">
      <c r="A221" s="96" t="s">
        <v>96</v>
      </c>
      <c r="B221" s="97">
        <v>2024</v>
      </c>
      <c r="C221" s="42">
        <v>1.06</v>
      </c>
      <c r="D221" s="97" t="s">
        <v>71</v>
      </c>
      <c r="E221" s="97" t="s">
        <v>20</v>
      </c>
      <c r="F221" s="42">
        <v>1.03</v>
      </c>
      <c r="G221" s="97" t="s">
        <v>216</v>
      </c>
    </row>
    <row r="222" spans="1:7" ht="15" customHeight="1" x14ac:dyDescent="0.35">
      <c r="A222" s="93" t="s">
        <v>97</v>
      </c>
      <c r="B222" s="94">
        <v>2015</v>
      </c>
      <c r="C222" s="95">
        <v>9.1</v>
      </c>
      <c r="D222" s="94" t="s">
        <v>71</v>
      </c>
      <c r="E222" s="94" t="s">
        <v>28</v>
      </c>
      <c r="F222" s="95">
        <v>10.83</v>
      </c>
      <c r="G222" s="94" t="s">
        <v>216</v>
      </c>
    </row>
    <row r="223" spans="1:7" ht="15" customHeight="1" x14ac:dyDescent="0.35">
      <c r="A223" s="96" t="s">
        <v>97</v>
      </c>
      <c r="B223" s="97">
        <v>2016</v>
      </c>
      <c r="C223" s="42">
        <v>15.14</v>
      </c>
      <c r="D223" s="97" t="s">
        <v>71</v>
      </c>
      <c r="E223" s="97" t="s">
        <v>28</v>
      </c>
      <c r="F223" s="42">
        <v>17.809999999999999</v>
      </c>
      <c r="G223" s="97" t="s">
        <v>216</v>
      </c>
    </row>
    <row r="224" spans="1:7" ht="15" customHeight="1" x14ac:dyDescent="0.35">
      <c r="A224" s="93" t="s">
        <v>97</v>
      </c>
      <c r="B224" s="94">
        <v>2017</v>
      </c>
      <c r="C224" s="95">
        <v>18.23</v>
      </c>
      <c r="D224" s="94" t="s">
        <v>71</v>
      </c>
      <c r="E224" s="94" t="s">
        <v>28</v>
      </c>
      <c r="F224" s="95">
        <v>20.95</v>
      </c>
      <c r="G224" s="94" t="s">
        <v>216</v>
      </c>
    </row>
    <row r="225" spans="1:7" ht="15" customHeight="1" x14ac:dyDescent="0.35">
      <c r="A225" s="96" t="s">
        <v>97</v>
      </c>
      <c r="B225" s="97">
        <v>2018</v>
      </c>
      <c r="C225" s="42">
        <v>20.52</v>
      </c>
      <c r="D225" s="97" t="s">
        <v>71</v>
      </c>
      <c r="E225" s="97" t="s">
        <v>28</v>
      </c>
      <c r="F225" s="42">
        <v>23.06</v>
      </c>
      <c r="G225" s="97" t="s">
        <v>216</v>
      </c>
    </row>
    <row r="226" spans="1:7" ht="15" customHeight="1" x14ac:dyDescent="0.35">
      <c r="A226" s="93" t="s">
        <v>97</v>
      </c>
      <c r="B226" s="94">
        <v>2019</v>
      </c>
      <c r="C226" s="95">
        <v>23.46</v>
      </c>
      <c r="D226" s="94" t="s">
        <v>71</v>
      </c>
      <c r="E226" s="94" t="s">
        <v>28</v>
      </c>
      <c r="F226" s="95">
        <v>25.78</v>
      </c>
      <c r="G226" s="94" t="s">
        <v>216</v>
      </c>
    </row>
    <row r="227" spans="1:7" ht="15" customHeight="1" x14ac:dyDescent="0.35">
      <c r="A227" s="96" t="s">
        <v>97</v>
      </c>
      <c r="B227" s="97">
        <v>2020</v>
      </c>
      <c r="C227" s="42">
        <v>32.79</v>
      </c>
      <c r="D227" s="97" t="s">
        <v>71</v>
      </c>
      <c r="E227" s="97" t="s">
        <v>28</v>
      </c>
      <c r="F227" s="42">
        <v>36.03</v>
      </c>
      <c r="G227" s="97" t="s">
        <v>216</v>
      </c>
    </row>
    <row r="228" spans="1:7" ht="15" customHeight="1" x14ac:dyDescent="0.35">
      <c r="A228" s="93" t="s">
        <v>97</v>
      </c>
      <c r="B228" s="94">
        <v>2021</v>
      </c>
      <c r="C228" s="95">
        <v>15.89</v>
      </c>
      <c r="D228" s="94" t="s">
        <v>71</v>
      </c>
      <c r="E228" s="94" t="s">
        <v>28</v>
      </c>
      <c r="F228" s="95">
        <v>16.73</v>
      </c>
      <c r="G228" s="94" t="s">
        <v>216</v>
      </c>
    </row>
    <row r="229" spans="1:7" ht="15" customHeight="1" x14ac:dyDescent="0.35">
      <c r="A229" s="96" t="s">
        <v>97</v>
      </c>
      <c r="B229" s="97">
        <v>2022</v>
      </c>
      <c r="C229" s="42">
        <v>18.75</v>
      </c>
      <c r="D229" s="97" t="s">
        <v>71</v>
      </c>
      <c r="E229" s="97" t="s">
        <v>28</v>
      </c>
      <c r="F229" s="42">
        <v>18.2</v>
      </c>
      <c r="G229" s="97" t="s">
        <v>216</v>
      </c>
    </row>
    <row r="230" spans="1:7" ht="15" customHeight="1" x14ac:dyDescent="0.35">
      <c r="A230" s="93" t="s">
        <v>97</v>
      </c>
      <c r="B230" s="94">
        <v>2023</v>
      </c>
      <c r="C230" s="95">
        <v>11.24</v>
      </c>
      <c r="D230" s="94" t="s">
        <v>71</v>
      </c>
      <c r="E230" s="94" t="s">
        <v>28</v>
      </c>
      <c r="F230" s="95">
        <v>11.24</v>
      </c>
      <c r="G230" s="94" t="s">
        <v>216</v>
      </c>
    </row>
    <row r="231" spans="1:7" ht="15" customHeight="1" x14ac:dyDescent="0.35">
      <c r="A231" s="96" t="s">
        <v>97</v>
      </c>
      <c r="B231" s="97">
        <v>2024</v>
      </c>
      <c r="C231" s="42">
        <v>6.3</v>
      </c>
      <c r="D231" s="97" t="s">
        <v>71</v>
      </c>
      <c r="E231" s="97" t="s">
        <v>28</v>
      </c>
      <c r="F231" s="42">
        <v>6.12</v>
      </c>
      <c r="G231" s="97" t="s">
        <v>216</v>
      </c>
    </row>
    <row r="232" spans="1:7" ht="15" customHeight="1" x14ac:dyDescent="0.35">
      <c r="A232" s="93" t="s">
        <v>98</v>
      </c>
      <c r="B232" s="94">
        <v>2015</v>
      </c>
      <c r="C232" s="95">
        <v>3.76</v>
      </c>
      <c r="D232" s="94" t="s">
        <v>72</v>
      </c>
      <c r="E232" s="94" t="s">
        <v>22</v>
      </c>
      <c r="F232" s="95">
        <v>4.4800000000000004</v>
      </c>
      <c r="G232" s="94" t="s">
        <v>216</v>
      </c>
    </row>
    <row r="233" spans="1:7" ht="15" customHeight="1" x14ac:dyDescent="0.35">
      <c r="A233" s="96" t="s">
        <v>98</v>
      </c>
      <c r="B233" s="97">
        <v>2016</v>
      </c>
      <c r="C233" s="42">
        <v>3.9</v>
      </c>
      <c r="D233" s="97" t="s">
        <v>72</v>
      </c>
      <c r="E233" s="97" t="s">
        <v>22</v>
      </c>
      <c r="F233" s="42">
        <v>4.59</v>
      </c>
      <c r="G233" s="97" t="s">
        <v>216</v>
      </c>
    </row>
    <row r="234" spans="1:7" ht="15" customHeight="1" x14ac:dyDescent="0.35">
      <c r="A234" s="93" t="s">
        <v>98</v>
      </c>
      <c r="B234" s="94">
        <v>2017</v>
      </c>
      <c r="C234" s="95">
        <v>4.8099999999999996</v>
      </c>
      <c r="D234" s="94" t="s">
        <v>72</v>
      </c>
      <c r="E234" s="94" t="s">
        <v>22</v>
      </c>
      <c r="F234" s="95">
        <v>5.53</v>
      </c>
      <c r="G234" s="94" t="s">
        <v>216</v>
      </c>
    </row>
    <row r="235" spans="1:7" ht="15" customHeight="1" x14ac:dyDescent="0.35">
      <c r="A235" s="96" t="s">
        <v>98</v>
      </c>
      <c r="B235" s="97">
        <v>2018</v>
      </c>
      <c r="C235" s="42">
        <v>5.58</v>
      </c>
      <c r="D235" s="97" t="s">
        <v>72</v>
      </c>
      <c r="E235" s="97" t="s">
        <v>22</v>
      </c>
      <c r="F235" s="42">
        <v>6.27</v>
      </c>
      <c r="G235" s="97" t="s">
        <v>216</v>
      </c>
    </row>
    <row r="236" spans="1:7" ht="15" customHeight="1" x14ac:dyDescent="0.35">
      <c r="A236" s="93" t="s">
        <v>98</v>
      </c>
      <c r="B236" s="94">
        <v>2019</v>
      </c>
      <c r="C236" s="95">
        <v>5.0599999999999996</v>
      </c>
      <c r="D236" s="94" t="s">
        <v>72</v>
      </c>
      <c r="E236" s="94" t="s">
        <v>22</v>
      </c>
      <c r="F236" s="95">
        <v>5.56</v>
      </c>
      <c r="G236" s="94" t="s">
        <v>216</v>
      </c>
    </row>
    <row r="237" spans="1:7" ht="15" customHeight="1" x14ac:dyDescent="0.35">
      <c r="A237" s="96" t="s">
        <v>98</v>
      </c>
      <c r="B237" s="97">
        <v>2020</v>
      </c>
      <c r="C237" s="42">
        <v>9.84</v>
      </c>
      <c r="D237" s="97" t="s">
        <v>72</v>
      </c>
      <c r="E237" s="97" t="s">
        <v>22</v>
      </c>
      <c r="F237" s="42">
        <v>10.81</v>
      </c>
      <c r="G237" s="97" t="s">
        <v>216</v>
      </c>
    </row>
    <row r="238" spans="1:7" ht="15" customHeight="1" x14ac:dyDescent="0.35">
      <c r="A238" s="93" t="s">
        <v>98</v>
      </c>
      <c r="B238" s="94">
        <v>2021</v>
      </c>
      <c r="C238" s="95">
        <v>14.1</v>
      </c>
      <c r="D238" s="94" t="s">
        <v>72</v>
      </c>
      <c r="E238" s="94" t="s">
        <v>22</v>
      </c>
      <c r="F238" s="95">
        <v>14.84</v>
      </c>
      <c r="G238" s="94" t="s">
        <v>216</v>
      </c>
    </row>
    <row r="239" spans="1:7" ht="15" customHeight="1" x14ac:dyDescent="0.35">
      <c r="A239" s="96" t="s">
        <v>98</v>
      </c>
      <c r="B239" s="97">
        <v>2022</v>
      </c>
      <c r="C239" s="42">
        <v>16.579999999999998</v>
      </c>
      <c r="D239" s="97" t="s">
        <v>72</v>
      </c>
      <c r="E239" s="97" t="s">
        <v>22</v>
      </c>
      <c r="F239" s="42">
        <v>16.100000000000001</v>
      </c>
      <c r="G239" s="97" t="s">
        <v>216</v>
      </c>
    </row>
    <row r="240" spans="1:7" ht="15" customHeight="1" x14ac:dyDescent="0.35">
      <c r="A240" s="93" t="s">
        <v>98</v>
      </c>
      <c r="B240" s="94">
        <v>2023</v>
      </c>
      <c r="C240" s="95">
        <v>16.309999999999999</v>
      </c>
      <c r="D240" s="94" t="s">
        <v>72</v>
      </c>
      <c r="E240" s="94" t="s">
        <v>22</v>
      </c>
      <c r="F240" s="95">
        <v>16.309999999999999</v>
      </c>
      <c r="G240" s="94" t="s">
        <v>216</v>
      </c>
    </row>
    <row r="241" spans="1:7" ht="15" customHeight="1" x14ac:dyDescent="0.35">
      <c r="A241" s="96" t="s">
        <v>98</v>
      </c>
      <c r="B241" s="97">
        <v>2024</v>
      </c>
      <c r="C241" s="42">
        <v>16.12</v>
      </c>
      <c r="D241" s="97" t="s">
        <v>72</v>
      </c>
      <c r="E241" s="97" t="s">
        <v>22</v>
      </c>
      <c r="F241" s="42">
        <v>15.65</v>
      </c>
      <c r="G241" s="97" t="s">
        <v>216</v>
      </c>
    </row>
    <row r="242" spans="1:7" ht="15" customHeight="1" x14ac:dyDescent="0.35">
      <c r="A242" s="93" t="s">
        <v>222</v>
      </c>
      <c r="B242" s="94">
        <v>2015</v>
      </c>
      <c r="C242" s="95">
        <v>37.17</v>
      </c>
      <c r="D242" s="94" t="s">
        <v>72</v>
      </c>
      <c r="E242" s="94" t="s">
        <v>22</v>
      </c>
      <c r="F242" s="95">
        <v>44.25</v>
      </c>
      <c r="G242" s="94" t="s">
        <v>216</v>
      </c>
    </row>
    <row r="243" spans="1:7" ht="15" customHeight="1" x14ac:dyDescent="0.35">
      <c r="A243" s="96" t="s">
        <v>222</v>
      </c>
      <c r="B243" s="97">
        <v>2017</v>
      </c>
      <c r="C243" s="42">
        <v>83.92</v>
      </c>
      <c r="D243" s="97" t="s">
        <v>72</v>
      </c>
      <c r="E243" s="97" t="s">
        <v>22</v>
      </c>
      <c r="F243" s="42">
        <v>96.46</v>
      </c>
      <c r="G243" s="97" t="s">
        <v>216</v>
      </c>
    </row>
    <row r="244" spans="1:7" ht="15" customHeight="1" x14ac:dyDescent="0.35">
      <c r="A244" s="93" t="s">
        <v>222</v>
      </c>
      <c r="B244" s="94">
        <v>2018</v>
      </c>
      <c r="C244" s="95">
        <v>100.9</v>
      </c>
      <c r="D244" s="94" t="s">
        <v>72</v>
      </c>
      <c r="E244" s="94" t="s">
        <v>22</v>
      </c>
      <c r="F244" s="95">
        <v>113.37</v>
      </c>
      <c r="G244" s="94" t="s">
        <v>216</v>
      </c>
    </row>
    <row r="245" spans="1:7" ht="15" customHeight="1" x14ac:dyDescent="0.35">
      <c r="A245" s="96" t="s">
        <v>222</v>
      </c>
      <c r="B245" s="97">
        <v>2019</v>
      </c>
      <c r="C245" s="42">
        <v>96.46</v>
      </c>
      <c r="D245" s="97" t="s">
        <v>72</v>
      </c>
      <c r="E245" s="97" t="s">
        <v>22</v>
      </c>
      <c r="F245" s="42">
        <v>106</v>
      </c>
      <c r="G245" s="97" t="s">
        <v>216</v>
      </c>
    </row>
    <row r="246" spans="1:7" ht="15" customHeight="1" x14ac:dyDescent="0.35">
      <c r="A246" s="93" t="s">
        <v>222</v>
      </c>
      <c r="B246" s="94">
        <v>2020</v>
      </c>
      <c r="C246" s="95">
        <v>99.44</v>
      </c>
      <c r="D246" s="94" t="s">
        <v>72</v>
      </c>
      <c r="E246" s="94" t="s">
        <v>22</v>
      </c>
      <c r="F246" s="95">
        <v>109.27</v>
      </c>
      <c r="G246" s="94" t="s">
        <v>216</v>
      </c>
    </row>
    <row r="247" spans="1:7" ht="15" customHeight="1" x14ac:dyDescent="0.35">
      <c r="A247" s="96" t="s">
        <v>222</v>
      </c>
      <c r="B247" s="97">
        <v>2021</v>
      </c>
      <c r="C247" s="42">
        <v>101.47</v>
      </c>
      <c r="D247" s="97" t="s">
        <v>72</v>
      </c>
      <c r="E247" s="97" t="s">
        <v>22</v>
      </c>
      <c r="F247" s="42">
        <v>106.81</v>
      </c>
      <c r="G247" s="97" t="s">
        <v>216</v>
      </c>
    </row>
    <row r="248" spans="1:7" ht="15" customHeight="1" x14ac:dyDescent="0.35">
      <c r="A248" s="93" t="s">
        <v>222</v>
      </c>
      <c r="B248" s="94">
        <v>2022</v>
      </c>
      <c r="C248" s="95">
        <v>129.86000000000001</v>
      </c>
      <c r="D248" s="94" t="s">
        <v>72</v>
      </c>
      <c r="E248" s="94" t="s">
        <v>22</v>
      </c>
      <c r="F248" s="95">
        <v>126.08</v>
      </c>
      <c r="G248" s="94" t="s">
        <v>216</v>
      </c>
    </row>
    <row r="249" spans="1:7" ht="15" customHeight="1" x14ac:dyDescent="0.35">
      <c r="A249" s="96" t="s">
        <v>222</v>
      </c>
      <c r="B249" s="97">
        <v>2023</v>
      </c>
      <c r="C249" s="42">
        <v>130.81</v>
      </c>
      <c r="D249" s="97" t="s">
        <v>72</v>
      </c>
      <c r="E249" s="97" t="s">
        <v>22</v>
      </c>
      <c r="F249" s="42">
        <v>130.81</v>
      </c>
      <c r="G249" s="97" t="s">
        <v>216</v>
      </c>
    </row>
    <row r="250" spans="1:7" ht="15" customHeight="1" x14ac:dyDescent="0.35">
      <c r="A250" s="93" t="s">
        <v>222</v>
      </c>
      <c r="B250" s="94">
        <v>2024</v>
      </c>
      <c r="C250" s="95">
        <v>132.12</v>
      </c>
      <c r="D250" s="94" t="s">
        <v>72</v>
      </c>
      <c r="E250" s="94" t="s">
        <v>22</v>
      </c>
      <c r="F250" s="95">
        <v>128.27000000000001</v>
      </c>
      <c r="G250" s="94" t="s">
        <v>216</v>
      </c>
    </row>
    <row r="251" spans="1:7" ht="15" customHeight="1" x14ac:dyDescent="0.35">
      <c r="A251" s="96" t="s">
        <v>99</v>
      </c>
      <c r="B251" s="97">
        <v>2021</v>
      </c>
      <c r="C251" s="42">
        <v>40.119999999999997</v>
      </c>
      <c r="D251" s="97" t="s">
        <v>72</v>
      </c>
      <c r="E251" s="97" t="s">
        <v>22</v>
      </c>
      <c r="F251" s="42">
        <v>42.23</v>
      </c>
      <c r="G251" s="97" t="s">
        <v>216</v>
      </c>
    </row>
    <row r="252" spans="1:7" ht="15" customHeight="1" x14ac:dyDescent="0.35">
      <c r="A252" s="93" t="s">
        <v>99</v>
      </c>
      <c r="B252" s="94">
        <v>2022</v>
      </c>
      <c r="C252" s="95">
        <v>41.76</v>
      </c>
      <c r="D252" s="94" t="s">
        <v>72</v>
      </c>
      <c r="E252" s="94" t="s">
        <v>22</v>
      </c>
      <c r="F252" s="95">
        <v>40.54</v>
      </c>
      <c r="G252" s="94" t="s">
        <v>216</v>
      </c>
    </row>
    <row r="253" spans="1:7" ht="15" customHeight="1" x14ac:dyDescent="0.35">
      <c r="A253" s="96" t="s">
        <v>99</v>
      </c>
      <c r="B253" s="97">
        <v>2023</v>
      </c>
      <c r="C253" s="42">
        <v>46.56</v>
      </c>
      <c r="D253" s="97" t="s">
        <v>72</v>
      </c>
      <c r="E253" s="97" t="s">
        <v>22</v>
      </c>
      <c r="F253" s="42">
        <v>46.56</v>
      </c>
      <c r="G253" s="97" t="s">
        <v>216</v>
      </c>
    </row>
    <row r="254" spans="1:7" ht="15" customHeight="1" x14ac:dyDescent="0.35">
      <c r="A254" s="93" t="s">
        <v>99</v>
      </c>
      <c r="B254" s="94">
        <v>2024</v>
      </c>
      <c r="C254" s="95">
        <v>51.44</v>
      </c>
      <c r="D254" s="94" t="s">
        <v>72</v>
      </c>
      <c r="E254" s="94" t="s">
        <v>22</v>
      </c>
      <c r="F254" s="95">
        <v>49.94</v>
      </c>
      <c r="G254" s="94" t="s">
        <v>216</v>
      </c>
    </row>
    <row r="255" spans="1:7" ht="15" customHeight="1" x14ac:dyDescent="0.35">
      <c r="A255" s="96" t="s">
        <v>100</v>
      </c>
      <c r="B255" s="97">
        <v>2020</v>
      </c>
      <c r="C255" s="42">
        <v>8.1999999999999993</v>
      </c>
      <c r="D255" s="97" t="s">
        <v>71</v>
      </c>
      <c r="E255" s="97" t="s">
        <v>28</v>
      </c>
      <c r="F255" s="42">
        <v>9.01</v>
      </c>
      <c r="G255" s="97" t="s">
        <v>216</v>
      </c>
    </row>
    <row r="256" spans="1:7" ht="15" customHeight="1" x14ac:dyDescent="0.35">
      <c r="A256" s="93" t="s">
        <v>100</v>
      </c>
      <c r="B256" s="94">
        <v>2021</v>
      </c>
      <c r="C256" s="95">
        <v>6.5</v>
      </c>
      <c r="D256" s="94" t="s">
        <v>71</v>
      </c>
      <c r="E256" s="94" t="s">
        <v>28</v>
      </c>
      <c r="F256" s="95">
        <v>6.84</v>
      </c>
      <c r="G256" s="94" t="s">
        <v>216</v>
      </c>
    </row>
    <row r="257" spans="1:7" ht="15" customHeight="1" x14ac:dyDescent="0.35">
      <c r="A257" s="96" t="s">
        <v>100</v>
      </c>
      <c r="B257" s="97">
        <v>2022</v>
      </c>
      <c r="C257" s="42">
        <v>0.5</v>
      </c>
      <c r="D257" s="97" t="s">
        <v>71</v>
      </c>
      <c r="E257" s="97" t="s">
        <v>28</v>
      </c>
      <c r="F257" s="42">
        <v>0.49</v>
      </c>
      <c r="G257" s="97" t="s">
        <v>216</v>
      </c>
    </row>
    <row r="258" spans="1:7" ht="15" customHeight="1" x14ac:dyDescent="0.35">
      <c r="A258" s="93" t="s">
        <v>100</v>
      </c>
      <c r="B258" s="94">
        <v>2023</v>
      </c>
      <c r="C258" s="95">
        <v>12.05</v>
      </c>
      <c r="D258" s="94" t="s">
        <v>71</v>
      </c>
      <c r="E258" s="94" t="s">
        <v>28</v>
      </c>
      <c r="F258" s="95">
        <v>12.05</v>
      </c>
      <c r="G258" s="94" t="s">
        <v>216</v>
      </c>
    </row>
    <row r="259" spans="1:7" ht="15" customHeight="1" x14ac:dyDescent="0.35">
      <c r="A259" s="96" t="s">
        <v>100</v>
      </c>
      <c r="B259" s="97">
        <v>2024</v>
      </c>
      <c r="C259" s="42">
        <v>2.25</v>
      </c>
      <c r="D259" s="97" t="s">
        <v>71</v>
      </c>
      <c r="E259" s="97" t="s">
        <v>28</v>
      </c>
      <c r="F259" s="42">
        <v>2.1800000000000002</v>
      </c>
      <c r="G259" s="97" t="s">
        <v>216</v>
      </c>
    </row>
    <row r="260" spans="1:7" ht="15" customHeight="1" x14ac:dyDescent="0.35">
      <c r="A260" s="93" t="s">
        <v>101</v>
      </c>
      <c r="B260" s="94">
        <v>2016</v>
      </c>
      <c r="C260" s="95">
        <v>2.16</v>
      </c>
      <c r="D260" s="94" t="s">
        <v>72</v>
      </c>
      <c r="E260" s="94" t="s">
        <v>24</v>
      </c>
      <c r="F260" s="95">
        <v>2.54</v>
      </c>
      <c r="G260" s="94" t="s">
        <v>216</v>
      </c>
    </row>
    <row r="261" spans="1:7" ht="15" customHeight="1" x14ac:dyDescent="0.35">
      <c r="A261" s="96" t="s">
        <v>101</v>
      </c>
      <c r="B261" s="97">
        <v>2017</v>
      </c>
      <c r="C261" s="42">
        <v>2.06</v>
      </c>
      <c r="D261" s="97" t="s">
        <v>72</v>
      </c>
      <c r="E261" s="97" t="s">
        <v>24</v>
      </c>
      <c r="F261" s="42">
        <v>2.37</v>
      </c>
      <c r="G261" s="97" t="s">
        <v>216</v>
      </c>
    </row>
    <row r="262" spans="1:7" ht="15" customHeight="1" x14ac:dyDescent="0.35">
      <c r="A262" s="93" t="s">
        <v>101</v>
      </c>
      <c r="B262" s="94">
        <v>2018</v>
      </c>
      <c r="C262" s="95">
        <v>2.2599999999999998</v>
      </c>
      <c r="D262" s="94" t="s">
        <v>72</v>
      </c>
      <c r="E262" s="94" t="s">
        <v>24</v>
      </c>
      <c r="F262" s="95">
        <v>2.54</v>
      </c>
      <c r="G262" s="94" t="s">
        <v>216</v>
      </c>
    </row>
    <row r="263" spans="1:7" ht="15" customHeight="1" x14ac:dyDescent="0.35">
      <c r="A263" s="96" t="s">
        <v>101</v>
      </c>
      <c r="B263" s="97">
        <v>2019</v>
      </c>
      <c r="C263" s="42">
        <v>2.25</v>
      </c>
      <c r="D263" s="97" t="s">
        <v>72</v>
      </c>
      <c r="E263" s="97" t="s">
        <v>24</v>
      </c>
      <c r="F263" s="42">
        <v>2.4700000000000002</v>
      </c>
      <c r="G263" s="97" t="s">
        <v>216</v>
      </c>
    </row>
    <row r="264" spans="1:7" ht="15" customHeight="1" x14ac:dyDescent="0.35">
      <c r="A264" s="93" t="s">
        <v>101</v>
      </c>
      <c r="B264" s="94">
        <v>2020</v>
      </c>
      <c r="C264" s="95">
        <v>1.82</v>
      </c>
      <c r="D264" s="94" t="s">
        <v>72</v>
      </c>
      <c r="E264" s="94" t="s">
        <v>24</v>
      </c>
      <c r="F264" s="95">
        <v>2</v>
      </c>
      <c r="G264" s="94" t="s">
        <v>216</v>
      </c>
    </row>
    <row r="265" spans="1:7" ht="15" customHeight="1" x14ac:dyDescent="0.35">
      <c r="A265" s="96" t="s">
        <v>101</v>
      </c>
      <c r="B265" s="97">
        <v>2021</v>
      </c>
      <c r="C265" s="42">
        <v>4.18</v>
      </c>
      <c r="D265" s="97" t="s">
        <v>72</v>
      </c>
      <c r="E265" s="97" t="s">
        <v>24</v>
      </c>
      <c r="F265" s="42">
        <v>4.4000000000000004</v>
      </c>
      <c r="G265" s="97" t="s">
        <v>216</v>
      </c>
    </row>
    <row r="266" spans="1:7" ht="15" customHeight="1" x14ac:dyDescent="0.35">
      <c r="A266" s="93" t="s">
        <v>101</v>
      </c>
      <c r="B266" s="94">
        <v>2022</v>
      </c>
      <c r="C266" s="95">
        <v>2.4900000000000002</v>
      </c>
      <c r="D266" s="94" t="s">
        <v>72</v>
      </c>
      <c r="E266" s="94" t="s">
        <v>24</v>
      </c>
      <c r="F266" s="95">
        <v>2.42</v>
      </c>
      <c r="G266" s="94" t="s">
        <v>216</v>
      </c>
    </row>
    <row r="267" spans="1:7" ht="15" customHeight="1" x14ac:dyDescent="0.35">
      <c r="A267" s="96" t="s">
        <v>101</v>
      </c>
      <c r="B267" s="97">
        <v>2023</v>
      </c>
      <c r="C267" s="42">
        <v>2.95</v>
      </c>
      <c r="D267" s="97" t="s">
        <v>72</v>
      </c>
      <c r="E267" s="97" t="s">
        <v>24</v>
      </c>
      <c r="F267" s="42">
        <v>2.95</v>
      </c>
      <c r="G267" s="97" t="s">
        <v>216</v>
      </c>
    </row>
    <row r="268" spans="1:7" ht="15" customHeight="1" x14ac:dyDescent="0.35">
      <c r="A268" s="93" t="s">
        <v>101</v>
      </c>
      <c r="B268" s="94">
        <v>2024</v>
      </c>
      <c r="C268" s="95">
        <v>2.98</v>
      </c>
      <c r="D268" s="94" t="s">
        <v>72</v>
      </c>
      <c r="E268" s="94" t="s">
        <v>24</v>
      </c>
      <c r="F268" s="95">
        <v>2.89</v>
      </c>
      <c r="G268" s="94" t="s">
        <v>216</v>
      </c>
    </row>
    <row r="269" spans="1:7" ht="15" customHeight="1" x14ac:dyDescent="0.35">
      <c r="A269" s="96" t="s">
        <v>223</v>
      </c>
      <c r="B269" s="97">
        <v>2024</v>
      </c>
      <c r="C269" s="42">
        <v>25.8</v>
      </c>
      <c r="D269" s="97" t="s">
        <v>71</v>
      </c>
      <c r="E269" s="97" t="s">
        <v>28</v>
      </c>
      <c r="F269" s="42">
        <v>25.05</v>
      </c>
      <c r="G269" s="97" t="s">
        <v>216</v>
      </c>
    </row>
    <row r="270" spans="1:7" ht="15" customHeight="1" x14ac:dyDescent="0.35">
      <c r="A270" s="93" t="s">
        <v>102</v>
      </c>
      <c r="B270" s="94">
        <v>2021</v>
      </c>
      <c r="C270" s="95">
        <v>35.24</v>
      </c>
      <c r="D270" s="94" t="s">
        <v>72</v>
      </c>
      <c r="E270" s="94" t="s">
        <v>22</v>
      </c>
      <c r="F270" s="95">
        <v>37.090000000000003</v>
      </c>
      <c r="G270" s="94" t="s">
        <v>216</v>
      </c>
    </row>
    <row r="271" spans="1:7" ht="15" customHeight="1" x14ac:dyDescent="0.35">
      <c r="A271" s="96" t="s">
        <v>102</v>
      </c>
      <c r="B271" s="97">
        <v>2022</v>
      </c>
      <c r="C271" s="42">
        <v>46.14</v>
      </c>
      <c r="D271" s="97" t="s">
        <v>72</v>
      </c>
      <c r="E271" s="97" t="s">
        <v>22</v>
      </c>
      <c r="F271" s="42">
        <v>44.8</v>
      </c>
      <c r="G271" s="97" t="s">
        <v>216</v>
      </c>
    </row>
    <row r="272" spans="1:7" ht="15" customHeight="1" x14ac:dyDescent="0.35">
      <c r="A272" s="93" t="s">
        <v>102</v>
      </c>
      <c r="B272" s="94">
        <v>2023</v>
      </c>
      <c r="C272" s="95">
        <v>39.33</v>
      </c>
      <c r="D272" s="94" t="s">
        <v>72</v>
      </c>
      <c r="E272" s="94" t="s">
        <v>22</v>
      </c>
      <c r="F272" s="95">
        <v>39.33</v>
      </c>
      <c r="G272" s="94" t="s">
        <v>216</v>
      </c>
    </row>
    <row r="273" spans="1:7" ht="15" customHeight="1" x14ac:dyDescent="0.35">
      <c r="A273" s="96" t="s">
        <v>102</v>
      </c>
      <c r="B273" s="97">
        <v>2024</v>
      </c>
      <c r="C273" s="42">
        <v>45.42</v>
      </c>
      <c r="D273" s="97" t="s">
        <v>72</v>
      </c>
      <c r="E273" s="97" t="s">
        <v>22</v>
      </c>
      <c r="F273" s="42">
        <v>44.1</v>
      </c>
      <c r="G273" s="97" t="s">
        <v>216</v>
      </c>
    </row>
    <row r="274" spans="1:7" ht="15" customHeight="1" x14ac:dyDescent="0.35">
      <c r="A274" s="93" t="s">
        <v>103</v>
      </c>
      <c r="B274" s="94">
        <v>2020</v>
      </c>
      <c r="C274" s="95">
        <v>21.1</v>
      </c>
      <c r="D274" s="94" t="s">
        <v>72</v>
      </c>
      <c r="E274" s="94" t="s">
        <v>28</v>
      </c>
      <c r="F274" s="95">
        <v>23.19</v>
      </c>
      <c r="G274" s="94" t="s">
        <v>216</v>
      </c>
    </row>
    <row r="275" spans="1:7" ht="15" customHeight="1" x14ac:dyDescent="0.35">
      <c r="A275" s="96" t="s">
        <v>103</v>
      </c>
      <c r="B275" s="97">
        <v>2021</v>
      </c>
      <c r="C275" s="42">
        <v>31.83</v>
      </c>
      <c r="D275" s="97" t="s">
        <v>72</v>
      </c>
      <c r="E275" s="97" t="s">
        <v>28</v>
      </c>
      <c r="F275" s="42">
        <v>33.51</v>
      </c>
      <c r="G275" s="97" t="s">
        <v>216</v>
      </c>
    </row>
    <row r="276" spans="1:7" ht="15" customHeight="1" x14ac:dyDescent="0.35">
      <c r="A276" s="93" t="s">
        <v>103</v>
      </c>
      <c r="B276" s="94">
        <v>2022</v>
      </c>
      <c r="C276" s="95">
        <v>39.96</v>
      </c>
      <c r="D276" s="94" t="s">
        <v>72</v>
      </c>
      <c r="E276" s="94" t="s">
        <v>28</v>
      </c>
      <c r="F276" s="95">
        <v>38.799999999999997</v>
      </c>
      <c r="G276" s="94" t="s">
        <v>216</v>
      </c>
    </row>
    <row r="277" spans="1:7" ht="15" customHeight="1" x14ac:dyDescent="0.35">
      <c r="A277" s="96" t="s">
        <v>103</v>
      </c>
      <c r="B277" s="97">
        <v>2022</v>
      </c>
      <c r="C277" s="42">
        <v>39.96</v>
      </c>
      <c r="D277" s="97" t="s">
        <v>71</v>
      </c>
      <c r="E277" s="97" t="s">
        <v>28</v>
      </c>
      <c r="F277" s="42">
        <v>38.799999999999997</v>
      </c>
      <c r="G277" s="97" t="s">
        <v>216</v>
      </c>
    </row>
    <row r="278" spans="1:7" ht="15" customHeight="1" x14ac:dyDescent="0.35">
      <c r="A278" s="93" t="s">
        <v>103</v>
      </c>
      <c r="B278" s="94">
        <v>2023</v>
      </c>
      <c r="C278" s="95">
        <v>48.03</v>
      </c>
      <c r="D278" s="94" t="s">
        <v>72</v>
      </c>
      <c r="E278" s="94" t="s">
        <v>28</v>
      </c>
      <c r="F278" s="95">
        <v>48.03</v>
      </c>
      <c r="G278" s="94" t="s">
        <v>216</v>
      </c>
    </row>
    <row r="279" spans="1:7" ht="15" customHeight="1" x14ac:dyDescent="0.35">
      <c r="A279" s="96" t="s">
        <v>103</v>
      </c>
      <c r="B279" s="97">
        <v>2023</v>
      </c>
      <c r="C279" s="42">
        <v>48.03</v>
      </c>
      <c r="D279" s="97" t="s">
        <v>71</v>
      </c>
      <c r="E279" s="97" t="s">
        <v>28</v>
      </c>
      <c r="F279" s="42">
        <v>48.03</v>
      </c>
      <c r="G279" s="97" t="s">
        <v>216</v>
      </c>
    </row>
    <row r="280" spans="1:7" ht="15" customHeight="1" x14ac:dyDescent="0.35">
      <c r="A280" s="93" t="s">
        <v>103</v>
      </c>
      <c r="B280" s="94">
        <v>2024</v>
      </c>
      <c r="C280" s="95">
        <v>58.94</v>
      </c>
      <c r="D280" s="94" t="s">
        <v>71</v>
      </c>
      <c r="E280" s="94" t="s">
        <v>28</v>
      </c>
      <c r="F280" s="95">
        <v>57.22</v>
      </c>
      <c r="G280" s="94" t="s">
        <v>216</v>
      </c>
    </row>
    <row r="281" spans="1:7" ht="15" customHeight="1" x14ac:dyDescent="0.35">
      <c r="A281" s="96" t="s">
        <v>104</v>
      </c>
      <c r="B281" s="97">
        <v>2015</v>
      </c>
      <c r="C281" s="42">
        <v>4.93</v>
      </c>
      <c r="D281" s="97" t="s">
        <v>71</v>
      </c>
      <c r="E281" s="97" t="s">
        <v>20</v>
      </c>
      <c r="F281" s="42">
        <v>5.87</v>
      </c>
      <c r="G281" s="97" t="s">
        <v>216</v>
      </c>
    </row>
    <row r="282" spans="1:7" ht="15" customHeight="1" x14ac:dyDescent="0.35">
      <c r="A282" s="93" t="s">
        <v>104</v>
      </c>
      <c r="B282" s="94">
        <v>2016</v>
      </c>
      <c r="C282" s="95">
        <v>13.03</v>
      </c>
      <c r="D282" s="94" t="s">
        <v>71</v>
      </c>
      <c r="E282" s="94" t="s">
        <v>20</v>
      </c>
      <c r="F282" s="95">
        <v>15.33</v>
      </c>
      <c r="G282" s="94" t="s">
        <v>216</v>
      </c>
    </row>
    <row r="283" spans="1:7" ht="15" customHeight="1" x14ac:dyDescent="0.35">
      <c r="A283" s="96" t="s">
        <v>104</v>
      </c>
      <c r="B283" s="97">
        <v>2017</v>
      </c>
      <c r="C283" s="42">
        <v>12.51</v>
      </c>
      <c r="D283" s="97" t="s">
        <v>71</v>
      </c>
      <c r="E283" s="97" t="s">
        <v>20</v>
      </c>
      <c r="F283" s="42">
        <v>14.38</v>
      </c>
      <c r="G283" s="97" t="s">
        <v>216</v>
      </c>
    </row>
    <row r="284" spans="1:7" ht="15" customHeight="1" x14ac:dyDescent="0.35">
      <c r="A284" s="93" t="s">
        <v>104</v>
      </c>
      <c r="B284" s="94">
        <v>2018</v>
      </c>
      <c r="C284" s="95">
        <v>15.22</v>
      </c>
      <c r="D284" s="94" t="s">
        <v>71</v>
      </c>
      <c r="E284" s="94" t="s">
        <v>20</v>
      </c>
      <c r="F284" s="95">
        <v>17.100000000000001</v>
      </c>
      <c r="G284" s="94" t="s">
        <v>216</v>
      </c>
    </row>
    <row r="285" spans="1:7" ht="15" customHeight="1" x14ac:dyDescent="0.35">
      <c r="A285" s="96" t="s">
        <v>104</v>
      </c>
      <c r="B285" s="97">
        <v>2019</v>
      </c>
      <c r="C285" s="42">
        <v>17.53</v>
      </c>
      <c r="D285" s="97" t="s">
        <v>71</v>
      </c>
      <c r="E285" s="97" t="s">
        <v>20</v>
      </c>
      <c r="F285" s="42">
        <v>19.260000000000002</v>
      </c>
      <c r="G285" s="97" t="s">
        <v>216</v>
      </c>
    </row>
    <row r="286" spans="1:7" ht="15" customHeight="1" x14ac:dyDescent="0.35">
      <c r="A286" s="93" t="s">
        <v>104</v>
      </c>
      <c r="B286" s="94">
        <v>2020</v>
      </c>
      <c r="C286" s="95">
        <v>14.3</v>
      </c>
      <c r="D286" s="94" t="s">
        <v>71</v>
      </c>
      <c r="E286" s="94" t="s">
        <v>20</v>
      </c>
      <c r="F286" s="95">
        <v>15.71</v>
      </c>
      <c r="G286" s="94" t="s">
        <v>216</v>
      </c>
    </row>
    <row r="287" spans="1:7" ht="15" customHeight="1" x14ac:dyDescent="0.35">
      <c r="A287" s="96" t="s">
        <v>104</v>
      </c>
      <c r="B287" s="97">
        <v>2021</v>
      </c>
      <c r="C287" s="42">
        <v>25.76</v>
      </c>
      <c r="D287" s="97" t="s">
        <v>71</v>
      </c>
      <c r="E287" s="97" t="s">
        <v>20</v>
      </c>
      <c r="F287" s="42">
        <v>27.12</v>
      </c>
      <c r="G287" s="97" t="s">
        <v>216</v>
      </c>
    </row>
    <row r="288" spans="1:7" ht="15" customHeight="1" x14ac:dyDescent="0.35">
      <c r="A288" s="93" t="s">
        <v>104</v>
      </c>
      <c r="B288" s="94">
        <v>2022</v>
      </c>
      <c r="C288" s="95">
        <v>52.62</v>
      </c>
      <c r="D288" s="94" t="s">
        <v>71</v>
      </c>
      <c r="E288" s="94" t="s">
        <v>20</v>
      </c>
      <c r="F288" s="95">
        <v>51.09</v>
      </c>
      <c r="G288" s="94" t="s">
        <v>216</v>
      </c>
    </row>
    <row r="289" spans="1:7" ht="15" customHeight="1" x14ac:dyDescent="0.35">
      <c r="A289" s="96" t="s">
        <v>104</v>
      </c>
      <c r="B289" s="97">
        <v>2023</v>
      </c>
      <c r="C289" s="42">
        <v>34.200000000000003</v>
      </c>
      <c r="D289" s="97" t="s">
        <v>71</v>
      </c>
      <c r="E289" s="97" t="s">
        <v>20</v>
      </c>
      <c r="F289" s="42">
        <v>34.200000000000003</v>
      </c>
      <c r="G289" s="97" t="s">
        <v>216</v>
      </c>
    </row>
    <row r="290" spans="1:7" ht="15" customHeight="1" x14ac:dyDescent="0.35">
      <c r="A290" s="93" t="s">
        <v>104</v>
      </c>
      <c r="B290" s="94">
        <v>2024</v>
      </c>
      <c r="C290" s="95">
        <v>35.1</v>
      </c>
      <c r="D290" s="94" t="s">
        <v>71</v>
      </c>
      <c r="E290" s="94" t="s">
        <v>20</v>
      </c>
      <c r="F290" s="95">
        <v>34.08</v>
      </c>
      <c r="G290" s="94" t="s">
        <v>216</v>
      </c>
    </row>
    <row r="291" spans="1:7" ht="15" customHeight="1" x14ac:dyDescent="0.35">
      <c r="A291" s="96" t="s">
        <v>105</v>
      </c>
      <c r="B291" s="97">
        <v>2019</v>
      </c>
      <c r="C291" s="42">
        <v>15</v>
      </c>
      <c r="D291" s="97" t="s">
        <v>72</v>
      </c>
      <c r="E291" s="97" t="s">
        <v>28</v>
      </c>
      <c r="F291" s="42">
        <v>16.48</v>
      </c>
      <c r="G291" s="97" t="s">
        <v>216</v>
      </c>
    </row>
    <row r="292" spans="1:7" ht="15" customHeight="1" x14ac:dyDescent="0.35">
      <c r="A292" s="93" t="s">
        <v>105</v>
      </c>
      <c r="B292" s="94">
        <v>2020</v>
      </c>
      <c r="C292" s="95">
        <v>14.07</v>
      </c>
      <c r="D292" s="94" t="s">
        <v>72</v>
      </c>
      <c r="E292" s="94" t="s">
        <v>28</v>
      </c>
      <c r="F292" s="95">
        <v>15.46</v>
      </c>
      <c r="G292" s="94" t="s">
        <v>216</v>
      </c>
    </row>
    <row r="293" spans="1:7" ht="15" customHeight="1" x14ac:dyDescent="0.35">
      <c r="A293" s="96" t="s">
        <v>105</v>
      </c>
      <c r="B293" s="97">
        <v>2021</v>
      </c>
      <c r="C293" s="42">
        <v>23.88</v>
      </c>
      <c r="D293" s="97" t="s">
        <v>72</v>
      </c>
      <c r="E293" s="97" t="s">
        <v>28</v>
      </c>
      <c r="F293" s="42">
        <v>25.14</v>
      </c>
      <c r="G293" s="97" t="s">
        <v>216</v>
      </c>
    </row>
    <row r="294" spans="1:7" ht="15" customHeight="1" x14ac:dyDescent="0.35">
      <c r="A294" s="93" t="s">
        <v>105</v>
      </c>
      <c r="B294" s="94">
        <v>2021</v>
      </c>
      <c r="C294" s="95">
        <v>23.88</v>
      </c>
      <c r="D294" s="94" t="s">
        <v>71</v>
      </c>
      <c r="E294" s="94" t="s">
        <v>28</v>
      </c>
      <c r="F294" s="95">
        <v>25.14</v>
      </c>
      <c r="G294" s="94" t="s">
        <v>216</v>
      </c>
    </row>
    <row r="295" spans="1:7" ht="15" customHeight="1" x14ac:dyDescent="0.35">
      <c r="A295" s="96" t="s">
        <v>105</v>
      </c>
      <c r="B295" s="97">
        <v>2022</v>
      </c>
      <c r="C295" s="42">
        <v>39.96</v>
      </c>
      <c r="D295" s="97" t="s">
        <v>72</v>
      </c>
      <c r="E295" s="97" t="s">
        <v>28</v>
      </c>
      <c r="F295" s="42">
        <v>38.799999999999997</v>
      </c>
      <c r="G295" s="97" t="s">
        <v>216</v>
      </c>
    </row>
    <row r="296" spans="1:7" ht="15" customHeight="1" x14ac:dyDescent="0.35">
      <c r="A296" s="93" t="s">
        <v>105</v>
      </c>
      <c r="B296" s="94">
        <v>2022</v>
      </c>
      <c r="C296" s="95">
        <v>39.96</v>
      </c>
      <c r="D296" s="94" t="s">
        <v>71</v>
      </c>
      <c r="E296" s="94" t="s">
        <v>28</v>
      </c>
      <c r="F296" s="95">
        <v>38.799999999999997</v>
      </c>
      <c r="G296" s="94" t="s">
        <v>216</v>
      </c>
    </row>
    <row r="297" spans="1:7" ht="15" customHeight="1" x14ac:dyDescent="0.35">
      <c r="A297" s="96" t="s">
        <v>105</v>
      </c>
      <c r="B297" s="97">
        <v>2023</v>
      </c>
      <c r="C297" s="42">
        <v>48.03</v>
      </c>
      <c r="D297" s="97" t="s">
        <v>72</v>
      </c>
      <c r="E297" s="97" t="s">
        <v>28</v>
      </c>
      <c r="F297" s="42">
        <v>48.03</v>
      </c>
      <c r="G297" s="97" t="s">
        <v>216</v>
      </c>
    </row>
    <row r="298" spans="1:7" ht="15" customHeight="1" x14ac:dyDescent="0.35">
      <c r="A298" s="93" t="s">
        <v>105</v>
      </c>
      <c r="B298" s="94">
        <v>2023</v>
      </c>
      <c r="C298" s="95">
        <v>48.03</v>
      </c>
      <c r="D298" s="94" t="s">
        <v>71</v>
      </c>
      <c r="E298" s="94" t="s">
        <v>28</v>
      </c>
      <c r="F298" s="95">
        <v>48.03</v>
      </c>
      <c r="G298" s="94" t="s">
        <v>216</v>
      </c>
    </row>
    <row r="299" spans="1:7" ht="15" customHeight="1" x14ac:dyDescent="0.35">
      <c r="A299" s="96" t="s">
        <v>105</v>
      </c>
      <c r="B299" s="97">
        <v>2024</v>
      </c>
      <c r="C299" s="42">
        <v>58.94</v>
      </c>
      <c r="D299" s="97" t="s">
        <v>71</v>
      </c>
      <c r="E299" s="97" t="s">
        <v>28</v>
      </c>
      <c r="F299" s="42">
        <v>57.22</v>
      </c>
      <c r="G299" s="97" t="s">
        <v>216</v>
      </c>
    </row>
    <row r="300" spans="1:7" ht="15" customHeight="1" x14ac:dyDescent="0.35">
      <c r="A300" s="93" t="s">
        <v>106</v>
      </c>
      <c r="B300" s="94">
        <v>2020</v>
      </c>
      <c r="C300" s="95">
        <v>14.07</v>
      </c>
      <c r="D300" s="94" t="s">
        <v>72</v>
      </c>
      <c r="E300" s="94" t="s">
        <v>28</v>
      </c>
      <c r="F300" s="95">
        <v>15.46</v>
      </c>
      <c r="G300" s="94" t="s">
        <v>216</v>
      </c>
    </row>
    <row r="301" spans="1:7" ht="15" customHeight="1" x14ac:dyDescent="0.35">
      <c r="A301" s="96" t="s">
        <v>106</v>
      </c>
      <c r="B301" s="97">
        <v>2021</v>
      </c>
      <c r="C301" s="42">
        <v>23.88</v>
      </c>
      <c r="D301" s="97" t="s">
        <v>72</v>
      </c>
      <c r="E301" s="97" t="s">
        <v>28</v>
      </c>
      <c r="F301" s="42">
        <v>25.14</v>
      </c>
      <c r="G301" s="97" t="s">
        <v>216</v>
      </c>
    </row>
    <row r="302" spans="1:7" ht="15" customHeight="1" x14ac:dyDescent="0.35">
      <c r="A302" s="93" t="s">
        <v>106</v>
      </c>
      <c r="B302" s="94">
        <v>2022</v>
      </c>
      <c r="C302" s="95">
        <v>31.97</v>
      </c>
      <c r="D302" s="94" t="s">
        <v>72</v>
      </c>
      <c r="E302" s="94" t="s">
        <v>28</v>
      </c>
      <c r="F302" s="95">
        <v>31.04</v>
      </c>
      <c r="G302" s="94" t="s">
        <v>216</v>
      </c>
    </row>
    <row r="303" spans="1:7" ht="15" customHeight="1" x14ac:dyDescent="0.35">
      <c r="A303" s="96" t="s">
        <v>106</v>
      </c>
      <c r="B303" s="97">
        <v>2023</v>
      </c>
      <c r="C303" s="42">
        <v>48.03</v>
      </c>
      <c r="D303" s="97" t="s">
        <v>72</v>
      </c>
      <c r="E303" s="97" t="s">
        <v>28</v>
      </c>
      <c r="F303" s="42">
        <v>48.03</v>
      </c>
      <c r="G303" s="97" t="s">
        <v>216</v>
      </c>
    </row>
    <row r="304" spans="1:7" ht="15" customHeight="1" x14ac:dyDescent="0.35">
      <c r="A304" s="93" t="s">
        <v>106</v>
      </c>
      <c r="B304" s="94">
        <v>2024</v>
      </c>
      <c r="C304" s="95">
        <v>58.94</v>
      </c>
      <c r="D304" s="94" t="s">
        <v>72</v>
      </c>
      <c r="E304" s="94" t="s">
        <v>28</v>
      </c>
      <c r="F304" s="95">
        <v>57.22</v>
      </c>
      <c r="G304" s="94" t="s">
        <v>216</v>
      </c>
    </row>
    <row r="305" spans="1:7" ht="15" customHeight="1" x14ac:dyDescent="0.35">
      <c r="A305" s="96" t="s">
        <v>107</v>
      </c>
      <c r="B305" s="97">
        <v>2015</v>
      </c>
      <c r="C305" s="42">
        <v>63.24</v>
      </c>
      <c r="D305" s="97" t="s">
        <v>72</v>
      </c>
      <c r="E305" s="97" t="s">
        <v>22</v>
      </c>
      <c r="F305" s="42">
        <v>75.290000000000006</v>
      </c>
      <c r="G305" s="97" t="s">
        <v>216</v>
      </c>
    </row>
    <row r="306" spans="1:7" ht="15" customHeight="1" x14ac:dyDescent="0.35">
      <c r="A306" s="93" t="s">
        <v>107</v>
      </c>
      <c r="B306" s="94">
        <v>2016</v>
      </c>
      <c r="C306" s="95">
        <v>62.08</v>
      </c>
      <c r="D306" s="94" t="s">
        <v>72</v>
      </c>
      <c r="E306" s="94" t="s">
        <v>22</v>
      </c>
      <c r="F306" s="95">
        <v>73.040000000000006</v>
      </c>
      <c r="G306" s="94" t="s">
        <v>216</v>
      </c>
    </row>
    <row r="307" spans="1:7" ht="15" customHeight="1" x14ac:dyDescent="0.35">
      <c r="A307" s="96" t="s">
        <v>107</v>
      </c>
      <c r="B307" s="97">
        <v>2017</v>
      </c>
      <c r="C307" s="42">
        <v>63.94</v>
      </c>
      <c r="D307" s="97" t="s">
        <v>72</v>
      </c>
      <c r="E307" s="97" t="s">
        <v>22</v>
      </c>
      <c r="F307" s="42">
        <v>73.489999999999995</v>
      </c>
      <c r="G307" s="97" t="s">
        <v>216</v>
      </c>
    </row>
    <row r="308" spans="1:7" ht="15" customHeight="1" x14ac:dyDescent="0.35">
      <c r="A308" s="93" t="s">
        <v>107</v>
      </c>
      <c r="B308" s="94">
        <v>2018</v>
      </c>
      <c r="C308" s="95">
        <v>74.45</v>
      </c>
      <c r="D308" s="94" t="s">
        <v>72</v>
      </c>
      <c r="E308" s="94" t="s">
        <v>22</v>
      </c>
      <c r="F308" s="95">
        <v>83.65</v>
      </c>
      <c r="G308" s="94" t="s">
        <v>216</v>
      </c>
    </row>
    <row r="309" spans="1:7" ht="15" customHeight="1" x14ac:dyDescent="0.35">
      <c r="A309" s="96" t="s">
        <v>107</v>
      </c>
      <c r="B309" s="97">
        <v>2019</v>
      </c>
      <c r="C309" s="42">
        <v>67.150000000000006</v>
      </c>
      <c r="D309" s="97" t="s">
        <v>72</v>
      </c>
      <c r="E309" s="97" t="s">
        <v>22</v>
      </c>
      <c r="F309" s="42">
        <v>73.790000000000006</v>
      </c>
      <c r="G309" s="97" t="s">
        <v>216</v>
      </c>
    </row>
    <row r="310" spans="1:7" ht="15" customHeight="1" x14ac:dyDescent="0.35">
      <c r="A310" s="93" t="s">
        <v>107</v>
      </c>
      <c r="B310" s="94">
        <v>2020</v>
      </c>
      <c r="C310" s="95">
        <v>58.94</v>
      </c>
      <c r="D310" s="94" t="s">
        <v>72</v>
      </c>
      <c r="E310" s="94" t="s">
        <v>22</v>
      </c>
      <c r="F310" s="95">
        <v>64.77</v>
      </c>
      <c r="G310" s="94" t="s">
        <v>216</v>
      </c>
    </row>
    <row r="311" spans="1:7" ht="15" customHeight="1" x14ac:dyDescent="0.35">
      <c r="A311" s="96" t="s">
        <v>107</v>
      </c>
      <c r="B311" s="97">
        <v>2021</v>
      </c>
      <c r="C311" s="42">
        <v>60.76</v>
      </c>
      <c r="D311" s="97" t="s">
        <v>72</v>
      </c>
      <c r="E311" s="97" t="s">
        <v>22</v>
      </c>
      <c r="F311" s="42">
        <v>63.96</v>
      </c>
      <c r="G311" s="97" t="s">
        <v>216</v>
      </c>
    </row>
    <row r="312" spans="1:7" ht="15" customHeight="1" x14ac:dyDescent="0.35">
      <c r="A312" s="93" t="s">
        <v>107</v>
      </c>
      <c r="B312" s="94">
        <v>2022</v>
      </c>
      <c r="C312" s="95">
        <v>54.27</v>
      </c>
      <c r="D312" s="94" t="s">
        <v>72</v>
      </c>
      <c r="E312" s="94" t="s">
        <v>22</v>
      </c>
      <c r="F312" s="95">
        <v>52.69</v>
      </c>
      <c r="G312" s="94" t="s">
        <v>216</v>
      </c>
    </row>
    <row r="313" spans="1:7" ht="15" customHeight="1" x14ac:dyDescent="0.35">
      <c r="A313" s="96" t="s">
        <v>107</v>
      </c>
      <c r="B313" s="97">
        <v>2023</v>
      </c>
      <c r="C313" s="42">
        <v>50.14</v>
      </c>
      <c r="D313" s="97" t="s">
        <v>72</v>
      </c>
      <c r="E313" s="97" t="s">
        <v>22</v>
      </c>
      <c r="F313" s="42">
        <v>50.14</v>
      </c>
      <c r="G313" s="97" t="s">
        <v>216</v>
      </c>
    </row>
    <row r="314" spans="1:7" ht="15" customHeight="1" x14ac:dyDescent="0.35">
      <c r="A314" s="93" t="s">
        <v>107</v>
      </c>
      <c r="B314" s="94">
        <v>2024</v>
      </c>
      <c r="C314" s="95">
        <v>66.930000000000007</v>
      </c>
      <c r="D314" s="94" t="s">
        <v>72</v>
      </c>
      <c r="E314" s="94" t="s">
        <v>22</v>
      </c>
      <c r="F314" s="95">
        <v>64.98</v>
      </c>
      <c r="G314" s="94" t="s">
        <v>216</v>
      </c>
    </row>
    <row r="315" spans="1:7" ht="15" customHeight="1" x14ac:dyDescent="0.35">
      <c r="A315" s="96" t="s">
        <v>108</v>
      </c>
      <c r="B315" s="97">
        <v>2021</v>
      </c>
      <c r="C315" s="42">
        <v>19.66</v>
      </c>
      <c r="D315" s="97" t="s">
        <v>71</v>
      </c>
      <c r="E315" s="97" t="s">
        <v>28</v>
      </c>
      <c r="F315" s="42">
        <v>20.69</v>
      </c>
      <c r="G315" s="97" t="s">
        <v>216</v>
      </c>
    </row>
    <row r="316" spans="1:7" ht="15" customHeight="1" x14ac:dyDescent="0.35">
      <c r="A316" s="93" t="s">
        <v>108</v>
      </c>
      <c r="B316" s="94">
        <v>2022</v>
      </c>
      <c r="C316" s="95">
        <v>23.1</v>
      </c>
      <c r="D316" s="94" t="s">
        <v>71</v>
      </c>
      <c r="E316" s="94" t="s">
        <v>28</v>
      </c>
      <c r="F316" s="95">
        <v>22.43</v>
      </c>
      <c r="G316" s="94" t="s">
        <v>216</v>
      </c>
    </row>
    <row r="317" spans="1:7" ht="15" customHeight="1" x14ac:dyDescent="0.35">
      <c r="A317" s="96" t="s">
        <v>108</v>
      </c>
      <c r="B317" s="97">
        <v>2023</v>
      </c>
      <c r="C317" s="42">
        <v>20.87</v>
      </c>
      <c r="D317" s="97" t="s">
        <v>71</v>
      </c>
      <c r="E317" s="97" t="s">
        <v>28</v>
      </c>
      <c r="F317" s="42">
        <v>20.87</v>
      </c>
      <c r="G317" s="97" t="s">
        <v>216</v>
      </c>
    </row>
    <row r="318" spans="1:7" ht="15" customHeight="1" x14ac:dyDescent="0.35">
      <c r="A318" s="93" t="s">
        <v>108</v>
      </c>
      <c r="B318" s="94">
        <v>2024</v>
      </c>
      <c r="C318" s="95">
        <v>58.94</v>
      </c>
      <c r="D318" s="94" t="s">
        <v>71</v>
      </c>
      <c r="E318" s="94" t="s">
        <v>28</v>
      </c>
      <c r="F318" s="95">
        <v>57.22</v>
      </c>
      <c r="G318" s="94" t="s">
        <v>216</v>
      </c>
    </row>
    <row r="319" spans="1:7" ht="15" customHeight="1" x14ac:dyDescent="0.35">
      <c r="A319" s="96" t="s">
        <v>109</v>
      </c>
      <c r="B319" s="97">
        <v>2017</v>
      </c>
      <c r="C319" s="42">
        <v>14.06</v>
      </c>
      <c r="D319" s="97" t="s">
        <v>71</v>
      </c>
      <c r="E319" s="97" t="s">
        <v>28</v>
      </c>
      <c r="F319" s="42">
        <v>16.16</v>
      </c>
      <c r="G319" s="97" t="s">
        <v>216</v>
      </c>
    </row>
    <row r="320" spans="1:7" ht="15" customHeight="1" x14ac:dyDescent="0.35">
      <c r="A320" s="93" t="s">
        <v>109</v>
      </c>
      <c r="B320" s="94">
        <v>2018</v>
      </c>
      <c r="C320" s="95">
        <v>11.7</v>
      </c>
      <c r="D320" s="94" t="s">
        <v>71</v>
      </c>
      <c r="E320" s="94" t="s">
        <v>28</v>
      </c>
      <c r="F320" s="95">
        <v>13.15</v>
      </c>
      <c r="G320" s="94" t="s">
        <v>216</v>
      </c>
    </row>
    <row r="321" spans="1:7" ht="15" customHeight="1" x14ac:dyDescent="0.35">
      <c r="A321" s="96" t="s">
        <v>109</v>
      </c>
      <c r="B321" s="97">
        <v>2022</v>
      </c>
      <c r="C321" s="42">
        <v>31.97</v>
      </c>
      <c r="D321" s="97" t="s">
        <v>71</v>
      </c>
      <c r="E321" s="97" t="s">
        <v>28</v>
      </c>
      <c r="F321" s="42">
        <v>31.04</v>
      </c>
      <c r="G321" s="97" t="s">
        <v>216</v>
      </c>
    </row>
    <row r="322" spans="1:7" ht="15" customHeight="1" x14ac:dyDescent="0.35">
      <c r="A322" s="93" t="s">
        <v>109</v>
      </c>
      <c r="B322" s="94">
        <v>2023</v>
      </c>
      <c r="C322" s="95">
        <v>48.03</v>
      </c>
      <c r="D322" s="94" t="s">
        <v>71</v>
      </c>
      <c r="E322" s="94" t="s">
        <v>28</v>
      </c>
      <c r="F322" s="95">
        <v>48.03</v>
      </c>
      <c r="G322" s="94" t="s">
        <v>216</v>
      </c>
    </row>
    <row r="323" spans="1:7" ht="15" customHeight="1" x14ac:dyDescent="0.35">
      <c r="A323" s="96" t="s">
        <v>109</v>
      </c>
      <c r="B323" s="97">
        <v>2024</v>
      </c>
      <c r="C323" s="42">
        <v>58.94</v>
      </c>
      <c r="D323" s="97" t="s">
        <v>71</v>
      </c>
      <c r="E323" s="97" t="s">
        <v>28</v>
      </c>
      <c r="F323" s="42">
        <v>57.22</v>
      </c>
      <c r="G323" s="97" t="s">
        <v>216</v>
      </c>
    </row>
    <row r="324" spans="1:7" ht="15" customHeight="1" x14ac:dyDescent="0.35">
      <c r="A324" s="93" t="s">
        <v>110</v>
      </c>
      <c r="B324" s="94">
        <v>2015</v>
      </c>
      <c r="C324" s="95">
        <v>3.88</v>
      </c>
      <c r="D324" s="94" t="s">
        <v>72</v>
      </c>
      <c r="E324" s="94" t="s">
        <v>22</v>
      </c>
      <c r="F324" s="95">
        <v>4.62</v>
      </c>
      <c r="G324" s="94" t="s">
        <v>216</v>
      </c>
    </row>
    <row r="325" spans="1:7" ht="15" customHeight="1" x14ac:dyDescent="0.35">
      <c r="A325" s="96" t="s">
        <v>110</v>
      </c>
      <c r="B325" s="97">
        <v>2016</v>
      </c>
      <c r="C325" s="42">
        <v>3.96</v>
      </c>
      <c r="D325" s="97" t="s">
        <v>72</v>
      </c>
      <c r="E325" s="97" t="s">
        <v>22</v>
      </c>
      <c r="F325" s="42">
        <v>4.66</v>
      </c>
      <c r="G325" s="97" t="s">
        <v>216</v>
      </c>
    </row>
    <row r="326" spans="1:7" ht="15" customHeight="1" x14ac:dyDescent="0.35">
      <c r="A326" s="93" t="s">
        <v>110</v>
      </c>
      <c r="B326" s="94">
        <v>2017</v>
      </c>
      <c r="C326" s="95">
        <v>2.99</v>
      </c>
      <c r="D326" s="94" t="s">
        <v>72</v>
      </c>
      <c r="E326" s="94" t="s">
        <v>22</v>
      </c>
      <c r="F326" s="95">
        <v>3.44</v>
      </c>
      <c r="G326" s="94" t="s">
        <v>216</v>
      </c>
    </row>
    <row r="327" spans="1:7" ht="15" customHeight="1" x14ac:dyDescent="0.35">
      <c r="A327" s="96" t="s">
        <v>110</v>
      </c>
      <c r="B327" s="97">
        <v>2018</v>
      </c>
      <c r="C327" s="42">
        <v>3.48</v>
      </c>
      <c r="D327" s="97" t="s">
        <v>72</v>
      </c>
      <c r="E327" s="97" t="s">
        <v>22</v>
      </c>
      <c r="F327" s="42">
        <v>3.91</v>
      </c>
      <c r="G327" s="97" t="s">
        <v>216</v>
      </c>
    </row>
    <row r="328" spans="1:7" ht="15" customHeight="1" x14ac:dyDescent="0.35">
      <c r="A328" s="93" t="s">
        <v>110</v>
      </c>
      <c r="B328" s="94">
        <v>2019</v>
      </c>
      <c r="C328" s="95">
        <v>3.15</v>
      </c>
      <c r="D328" s="94" t="s">
        <v>72</v>
      </c>
      <c r="E328" s="94" t="s">
        <v>22</v>
      </c>
      <c r="F328" s="95">
        <v>3.46</v>
      </c>
      <c r="G328" s="94" t="s">
        <v>216</v>
      </c>
    </row>
    <row r="329" spans="1:7" ht="15" customHeight="1" x14ac:dyDescent="0.35">
      <c r="A329" s="96" t="s">
        <v>110</v>
      </c>
      <c r="B329" s="97">
        <v>2020</v>
      </c>
      <c r="C329" s="42">
        <v>2.93</v>
      </c>
      <c r="D329" s="97" t="s">
        <v>72</v>
      </c>
      <c r="E329" s="97" t="s">
        <v>22</v>
      </c>
      <c r="F329" s="42">
        <v>3.22</v>
      </c>
      <c r="G329" s="97" t="s">
        <v>216</v>
      </c>
    </row>
    <row r="330" spans="1:7" ht="15" customHeight="1" x14ac:dyDescent="0.35">
      <c r="A330" s="93" t="s">
        <v>110</v>
      </c>
      <c r="B330" s="94">
        <v>2021</v>
      </c>
      <c r="C330" s="95">
        <v>3.17</v>
      </c>
      <c r="D330" s="94" t="s">
        <v>72</v>
      </c>
      <c r="E330" s="94" t="s">
        <v>22</v>
      </c>
      <c r="F330" s="95">
        <v>3.34</v>
      </c>
      <c r="G330" s="94" t="s">
        <v>216</v>
      </c>
    </row>
    <row r="331" spans="1:7" ht="15" customHeight="1" x14ac:dyDescent="0.35">
      <c r="A331" s="96" t="s">
        <v>110</v>
      </c>
      <c r="B331" s="97">
        <v>2022</v>
      </c>
      <c r="C331" s="42">
        <v>3.08</v>
      </c>
      <c r="D331" s="97" t="s">
        <v>72</v>
      </c>
      <c r="E331" s="97" t="s">
        <v>22</v>
      </c>
      <c r="F331" s="42">
        <v>2.99</v>
      </c>
      <c r="G331" s="97" t="s">
        <v>216</v>
      </c>
    </row>
    <row r="332" spans="1:7" ht="15" customHeight="1" x14ac:dyDescent="0.35">
      <c r="A332" s="93" t="s">
        <v>110</v>
      </c>
      <c r="B332" s="94">
        <v>2023</v>
      </c>
      <c r="C332" s="95">
        <v>3.17</v>
      </c>
      <c r="D332" s="94" t="s">
        <v>72</v>
      </c>
      <c r="E332" s="94" t="s">
        <v>22</v>
      </c>
      <c r="F332" s="95">
        <v>3.17</v>
      </c>
      <c r="G332" s="94" t="s">
        <v>216</v>
      </c>
    </row>
    <row r="333" spans="1:7" ht="15" customHeight="1" x14ac:dyDescent="0.35">
      <c r="A333" s="96" t="s">
        <v>111</v>
      </c>
      <c r="B333" s="97">
        <v>2015</v>
      </c>
      <c r="C333" s="42">
        <v>4.5</v>
      </c>
      <c r="D333" s="97" t="s">
        <v>72</v>
      </c>
      <c r="E333" s="97" t="s">
        <v>22</v>
      </c>
      <c r="F333" s="42">
        <v>5.36</v>
      </c>
      <c r="G333" s="97" t="s">
        <v>216</v>
      </c>
    </row>
    <row r="334" spans="1:7" ht="15" customHeight="1" x14ac:dyDescent="0.35">
      <c r="A334" s="93" t="s">
        <v>111</v>
      </c>
      <c r="B334" s="94">
        <v>2016</v>
      </c>
      <c r="C334" s="95">
        <v>7.26</v>
      </c>
      <c r="D334" s="94" t="s">
        <v>72</v>
      </c>
      <c r="E334" s="94" t="s">
        <v>22</v>
      </c>
      <c r="F334" s="95">
        <v>8.5399999999999991</v>
      </c>
      <c r="G334" s="94" t="s">
        <v>216</v>
      </c>
    </row>
    <row r="335" spans="1:7" ht="15" customHeight="1" x14ac:dyDescent="0.35">
      <c r="A335" s="96" t="s">
        <v>111</v>
      </c>
      <c r="B335" s="97">
        <v>2017</v>
      </c>
      <c r="C335" s="42">
        <v>6.97</v>
      </c>
      <c r="D335" s="97" t="s">
        <v>72</v>
      </c>
      <c r="E335" s="97" t="s">
        <v>22</v>
      </c>
      <c r="F335" s="42">
        <v>8.01</v>
      </c>
      <c r="G335" s="97" t="s">
        <v>216</v>
      </c>
    </row>
    <row r="336" spans="1:7" ht="15" customHeight="1" x14ac:dyDescent="0.35">
      <c r="A336" s="93" t="s">
        <v>111</v>
      </c>
      <c r="B336" s="94">
        <v>2018</v>
      </c>
      <c r="C336" s="95">
        <v>6.86</v>
      </c>
      <c r="D336" s="94" t="s">
        <v>72</v>
      </c>
      <c r="E336" s="94" t="s">
        <v>22</v>
      </c>
      <c r="F336" s="95">
        <v>7.71</v>
      </c>
      <c r="G336" s="94" t="s">
        <v>216</v>
      </c>
    </row>
    <row r="337" spans="1:7" ht="15" customHeight="1" x14ac:dyDescent="0.35">
      <c r="A337" s="96" t="s">
        <v>111</v>
      </c>
      <c r="B337" s="97">
        <v>2019</v>
      </c>
      <c r="C337" s="42">
        <v>12.78</v>
      </c>
      <c r="D337" s="97" t="s">
        <v>72</v>
      </c>
      <c r="E337" s="97" t="s">
        <v>22</v>
      </c>
      <c r="F337" s="42">
        <v>14.04</v>
      </c>
      <c r="G337" s="97" t="s">
        <v>216</v>
      </c>
    </row>
    <row r="338" spans="1:7" ht="15" customHeight="1" x14ac:dyDescent="0.35">
      <c r="A338" s="93" t="s">
        <v>111</v>
      </c>
      <c r="B338" s="94">
        <v>2020</v>
      </c>
      <c r="C338" s="95">
        <v>37.270000000000003</v>
      </c>
      <c r="D338" s="94" t="s">
        <v>72</v>
      </c>
      <c r="E338" s="94" t="s">
        <v>22</v>
      </c>
      <c r="F338" s="95">
        <v>40.96</v>
      </c>
      <c r="G338" s="94" t="s">
        <v>216</v>
      </c>
    </row>
    <row r="339" spans="1:7" ht="15" customHeight="1" x14ac:dyDescent="0.35">
      <c r="A339" s="96" t="s">
        <v>111</v>
      </c>
      <c r="B339" s="97">
        <v>2021</v>
      </c>
      <c r="C339" s="42">
        <v>27.99</v>
      </c>
      <c r="D339" s="97" t="s">
        <v>72</v>
      </c>
      <c r="E339" s="97" t="s">
        <v>22</v>
      </c>
      <c r="F339" s="42">
        <v>29.46</v>
      </c>
      <c r="G339" s="97" t="s">
        <v>216</v>
      </c>
    </row>
    <row r="340" spans="1:7" ht="15" customHeight="1" x14ac:dyDescent="0.35">
      <c r="A340" s="93" t="s">
        <v>111</v>
      </c>
      <c r="B340" s="94">
        <v>2022</v>
      </c>
      <c r="C340" s="95">
        <v>26.34</v>
      </c>
      <c r="D340" s="94" t="s">
        <v>72</v>
      </c>
      <c r="E340" s="94" t="s">
        <v>22</v>
      </c>
      <c r="F340" s="95">
        <v>25.57</v>
      </c>
      <c r="G340" s="94" t="s">
        <v>216</v>
      </c>
    </row>
    <row r="341" spans="1:7" ht="15" customHeight="1" x14ac:dyDescent="0.35">
      <c r="A341" s="96" t="s">
        <v>111</v>
      </c>
      <c r="B341" s="97">
        <v>2023</v>
      </c>
      <c r="C341" s="42">
        <v>25.92</v>
      </c>
      <c r="D341" s="97" t="s">
        <v>72</v>
      </c>
      <c r="E341" s="97" t="s">
        <v>22</v>
      </c>
      <c r="F341" s="42">
        <v>25.92</v>
      </c>
      <c r="G341" s="97" t="s">
        <v>216</v>
      </c>
    </row>
    <row r="342" spans="1:7" ht="15" customHeight="1" x14ac:dyDescent="0.35">
      <c r="A342" s="93" t="s">
        <v>112</v>
      </c>
      <c r="B342" s="94">
        <v>2019</v>
      </c>
      <c r="C342" s="95">
        <v>15</v>
      </c>
      <c r="D342" s="94" t="s">
        <v>72</v>
      </c>
      <c r="E342" s="94" t="s">
        <v>28</v>
      </c>
      <c r="F342" s="95">
        <v>16.48</v>
      </c>
      <c r="G342" s="94" t="s">
        <v>216</v>
      </c>
    </row>
    <row r="343" spans="1:7" ht="15" customHeight="1" x14ac:dyDescent="0.35">
      <c r="A343" s="96" t="s">
        <v>112</v>
      </c>
      <c r="B343" s="97">
        <v>2020</v>
      </c>
      <c r="C343" s="42">
        <v>21.1</v>
      </c>
      <c r="D343" s="97" t="s">
        <v>72</v>
      </c>
      <c r="E343" s="97" t="s">
        <v>28</v>
      </c>
      <c r="F343" s="42">
        <v>23.19</v>
      </c>
      <c r="G343" s="97" t="s">
        <v>216</v>
      </c>
    </row>
    <row r="344" spans="1:7" ht="15" customHeight="1" x14ac:dyDescent="0.35">
      <c r="A344" s="93" t="s">
        <v>112</v>
      </c>
      <c r="B344" s="94">
        <v>2021</v>
      </c>
      <c r="C344" s="95">
        <v>23.88</v>
      </c>
      <c r="D344" s="94" t="s">
        <v>72</v>
      </c>
      <c r="E344" s="94" t="s">
        <v>28</v>
      </c>
      <c r="F344" s="95">
        <v>25.14</v>
      </c>
      <c r="G344" s="94" t="s">
        <v>216</v>
      </c>
    </row>
    <row r="345" spans="1:7" ht="15" customHeight="1" x14ac:dyDescent="0.35">
      <c r="A345" s="96" t="s">
        <v>112</v>
      </c>
      <c r="B345" s="97">
        <v>2022</v>
      </c>
      <c r="C345" s="42">
        <v>23.98</v>
      </c>
      <c r="D345" s="97" t="s">
        <v>72</v>
      </c>
      <c r="E345" s="97" t="s">
        <v>28</v>
      </c>
      <c r="F345" s="42">
        <v>23.28</v>
      </c>
      <c r="G345" s="97" t="s">
        <v>216</v>
      </c>
    </row>
    <row r="346" spans="1:7" ht="15" customHeight="1" x14ac:dyDescent="0.35">
      <c r="A346" s="93" t="s">
        <v>112</v>
      </c>
      <c r="B346" s="94">
        <v>2023</v>
      </c>
      <c r="C346" s="95">
        <v>36.950000000000003</v>
      </c>
      <c r="D346" s="94" t="s">
        <v>72</v>
      </c>
      <c r="E346" s="94" t="s">
        <v>28</v>
      </c>
      <c r="F346" s="95">
        <v>36.950000000000003</v>
      </c>
      <c r="G346" s="94" t="s">
        <v>216</v>
      </c>
    </row>
    <row r="347" spans="1:7" ht="15" customHeight="1" x14ac:dyDescent="0.35">
      <c r="A347" s="96" t="s">
        <v>113</v>
      </c>
      <c r="B347" s="97">
        <v>2015</v>
      </c>
      <c r="C347" s="42">
        <v>12.49</v>
      </c>
      <c r="D347" s="97" t="s">
        <v>71</v>
      </c>
      <c r="E347" s="97" t="s">
        <v>28</v>
      </c>
      <c r="F347" s="42">
        <v>14.87</v>
      </c>
      <c r="G347" s="97" t="s">
        <v>216</v>
      </c>
    </row>
    <row r="348" spans="1:7" ht="15" customHeight="1" x14ac:dyDescent="0.35">
      <c r="A348" s="93" t="s">
        <v>113</v>
      </c>
      <c r="B348" s="94">
        <v>2016</v>
      </c>
      <c r="C348" s="95">
        <v>12.8</v>
      </c>
      <c r="D348" s="94" t="s">
        <v>71</v>
      </c>
      <c r="E348" s="94" t="s">
        <v>28</v>
      </c>
      <c r="F348" s="95">
        <v>15.06</v>
      </c>
      <c r="G348" s="94" t="s">
        <v>216</v>
      </c>
    </row>
    <row r="349" spans="1:7" ht="15" customHeight="1" x14ac:dyDescent="0.35">
      <c r="A349" s="96" t="s">
        <v>113</v>
      </c>
      <c r="B349" s="97">
        <v>2017</v>
      </c>
      <c r="C349" s="42">
        <v>15.08</v>
      </c>
      <c r="D349" s="97" t="s">
        <v>71</v>
      </c>
      <c r="E349" s="97" t="s">
        <v>28</v>
      </c>
      <c r="F349" s="42">
        <v>17.329999999999998</v>
      </c>
      <c r="G349" s="97" t="s">
        <v>216</v>
      </c>
    </row>
    <row r="350" spans="1:7" ht="15" customHeight="1" x14ac:dyDescent="0.35">
      <c r="A350" s="93" t="s">
        <v>113</v>
      </c>
      <c r="B350" s="94">
        <v>2018</v>
      </c>
      <c r="C350" s="95">
        <v>15.1</v>
      </c>
      <c r="D350" s="94" t="s">
        <v>71</v>
      </c>
      <c r="E350" s="94" t="s">
        <v>28</v>
      </c>
      <c r="F350" s="95">
        <v>16.97</v>
      </c>
      <c r="G350" s="94" t="s">
        <v>216</v>
      </c>
    </row>
    <row r="351" spans="1:7" ht="15" customHeight="1" x14ac:dyDescent="0.35">
      <c r="A351" s="96" t="s">
        <v>113</v>
      </c>
      <c r="B351" s="97">
        <v>2019</v>
      </c>
      <c r="C351" s="42">
        <v>15.77</v>
      </c>
      <c r="D351" s="97" t="s">
        <v>71</v>
      </c>
      <c r="E351" s="97" t="s">
        <v>28</v>
      </c>
      <c r="F351" s="42">
        <v>17.329999999999998</v>
      </c>
      <c r="G351" s="97" t="s">
        <v>216</v>
      </c>
    </row>
    <row r="352" spans="1:7" ht="15" customHeight="1" x14ac:dyDescent="0.35">
      <c r="A352" s="93" t="s">
        <v>113</v>
      </c>
      <c r="B352" s="94">
        <v>2020</v>
      </c>
      <c r="C352" s="95">
        <v>21.75</v>
      </c>
      <c r="D352" s="94" t="s">
        <v>71</v>
      </c>
      <c r="E352" s="94" t="s">
        <v>28</v>
      </c>
      <c r="F352" s="95">
        <v>23.9</v>
      </c>
      <c r="G352" s="94" t="s">
        <v>216</v>
      </c>
    </row>
    <row r="353" spans="1:7" ht="15" customHeight="1" x14ac:dyDescent="0.35">
      <c r="A353" s="96" t="s">
        <v>113</v>
      </c>
      <c r="B353" s="97">
        <v>2021</v>
      </c>
      <c r="C353" s="42">
        <v>17.940000000000001</v>
      </c>
      <c r="D353" s="97" t="s">
        <v>71</v>
      </c>
      <c r="E353" s="97" t="s">
        <v>28</v>
      </c>
      <c r="F353" s="42">
        <v>18.88</v>
      </c>
      <c r="G353" s="97" t="s">
        <v>216</v>
      </c>
    </row>
    <row r="354" spans="1:7" ht="15" customHeight="1" x14ac:dyDescent="0.35">
      <c r="A354" s="93" t="s">
        <v>113</v>
      </c>
      <c r="B354" s="94">
        <v>2022</v>
      </c>
      <c r="C354" s="95">
        <v>38.58</v>
      </c>
      <c r="D354" s="94" t="s">
        <v>71</v>
      </c>
      <c r="E354" s="94" t="s">
        <v>28</v>
      </c>
      <c r="F354" s="95">
        <v>37.46</v>
      </c>
      <c r="G354" s="94" t="s">
        <v>216</v>
      </c>
    </row>
    <row r="355" spans="1:7" ht="15" customHeight="1" x14ac:dyDescent="0.35">
      <c r="A355" s="96" t="s">
        <v>113</v>
      </c>
      <c r="B355" s="97">
        <v>2023</v>
      </c>
      <c r="C355" s="42">
        <v>29.84</v>
      </c>
      <c r="D355" s="97" t="s">
        <v>71</v>
      </c>
      <c r="E355" s="97" t="s">
        <v>28</v>
      </c>
      <c r="F355" s="42">
        <v>29.84</v>
      </c>
      <c r="G355" s="97" t="s">
        <v>216</v>
      </c>
    </row>
    <row r="356" spans="1:7" ht="15" customHeight="1" x14ac:dyDescent="0.35">
      <c r="A356" s="93" t="s">
        <v>113</v>
      </c>
      <c r="B356" s="94">
        <v>2024</v>
      </c>
      <c r="C356" s="95">
        <v>38.590000000000003</v>
      </c>
      <c r="D356" s="94" t="s">
        <v>71</v>
      </c>
      <c r="E356" s="94" t="s">
        <v>28</v>
      </c>
      <c r="F356" s="95">
        <v>37.47</v>
      </c>
      <c r="G356" s="94" t="s">
        <v>216</v>
      </c>
    </row>
    <row r="357" spans="1:7" ht="15" customHeight="1" x14ac:dyDescent="0.35">
      <c r="A357" s="96" t="s">
        <v>114</v>
      </c>
      <c r="B357" s="97">
        <v>2023</v>
      </c>
      <c r="C357" s="42">
        <v>32.200000000000003</v>
      </c>
      <c r="D357" s="97" t="s">
        <v>72</v>
      </c>
      <c r="E357" s="97" t="s">
        <v>28</v>
      </c>
      <c r="F357" s="42">
        <v>32.200000000000003</v>
      </c>
      <c r="G357" s="97" t="s">
        <v>216</v>
      </c>
    </row>
    <row r="358" spans="1:7" ht="15" customHeight="1" x14ac:dyDescent="0.35">
      <c r="A358" s="93" t="s">
        <v>114</v>
      </c>
      <c r="B358" s="94">
        <v>2024</v>
      </c>
      <c r="C358" s="95">
        <v>36.700000000000003</v>
      </c>
      <c r="D358" s="94" t="s">
        <v>72</v>
      </c>
      <c r="E358" s="94" t="s">
        <v>28</v>
      </c>
      <c r="F358" s="95">
        <v>35.630000000000003</v>
      </c>
      <c r="G358" s="94" t="s">
        <v>216</v>
      </c>
    </row>
    <row r="359" spans="1:7" ht="15" customHeight="1" x14ac:dyDescent="0.35">
      <c r="A359" s="96" t="s">
        <v>115</v>
      </c>
      <c r="B359" s="97">
        <v>2015</v>
      </c>
      <c r="C359" s="42">
        <v>5.9</v>
      </c>
      <c r="D359" s="97" t="s">
        <v>71</v>
      </c>
      <c r="E359" s="97" t="s">
        <v>28</v>
      </c>
      <c r="F359" s="42">
        <v>7.02</v>
      </c>
      <c r="G359" s="97" t="s">
        <v>216</v>
      </c>
    </row>
    <row r="360" spans="1:7" ht="15" customHeight="1" x14ac:dyDescent="0.35">
      <c r="A360" s="93" t="s">
        <v>115</v>
      </c>
      <c r="B360" s="94">
        <v>2016</v>
      </c>
      <c r="C360" s="95">
        <v>5.23</v>
      </c>
      <c r="D360" s="94" t="s">
        <v>71</v>
      </c>
      <c r="E360" s="94" t="s">
        <v>28</v>
      </c>
      <c r="F360" s="95">
        <v>6.15</v>
      </c>
      <c r="G360" s="94" t="s">
        <v>216</v>
      </c>
    </row>
    <row r="361" spans="1:7" ht="15" customHeight="1" x14ac:dyDescent="0.35">
      <c r="A361" s="96" t="s">
        <v>115</v>
      </c>
      <c r="B361" s="97">
        <v>2017</v>
      </c>
      <c r="C361" s="42">
        <v>3.94</v>
      </c>
      <c r="D361" s="97" t="s">
        <v>71</v>
      </c>
      <c r="E361" s="97" t="s">
        <v>28</v>
      </c>
      <c r="F361" s="42">
        <v>4.53</v>
      </c>
      <c r="G361" s="97" t="s">
        <v>216</v>
      </c>
    </row>
    <row r="362" spans="1:7" ht="15" customHeight="1" x14ac:dyDescent="0.35">
      <c r="A362" s="93" t="s">
        <v>115</v>
      </c>
      <c r="B362" s="94">
        <v>2018</v>
      </c>
      <c r="C362" s="95">
        <v>4.3</v>
      </c>
      <c r="D362" s="94" t="s">
        <v>71</v>
      </c>
      <c r="E362" s="94" t="s">
        <v>28</v>
      </c>
      <c r="F362" s="95">
        <v>4.83</v>
      </c>
      <c r="G362" s="94" t="s">
        <v>216</v>
      </c>
    </row>
    <row r="363" spans="1:7" ht="15" customHeight="1" x14ac:dyDescent="0.35">
      <c r="A363" s="96" t="s">
        <v>115</v>
      </c>
      <c r="B363" s="97">
        <v>2019</v>
      </c>
      <c r="C363" s="42">
        <v>4.9400000000000004</v>
      </c>
      <c r="D363" s="97" t="s">
        <v>71</v>
      </c>
      <c r="E363" s="97" t="s">
        <v>28</v>
      </c>
      <c r="F363" s="42">
        <v>5.43</v>
      </c>
      <c r="G363" s="97" t="s">
        <v>216</v>
      </c>
    </row>
    <row r="364" spans="1:7" ht="15" customHeight="1" x14ac:dyDescent="0.35">
      <c r="A364" s="93" t="s">
        <v>115</v>
      </c>
      <c r="B364" s="94">
        <v>2020</v>
      </c>
      <c r="C364" s="95">
        <v>5.13</v>
      </c>
      <c r="D364" s="94" t="s">
        <v>71</v>
      </c>
      <c r="E364" s="94" t="s">
        <v>28</v>
      </c>
      <c r="F364" s="95">
        <v>5.64</v>
      </c>
      <c r="G364" s="94" t="s">
        <v>216</v>
      </c>
    </row>
    <row r="365" spans="1:7" ht="15" customHeight="1" x14ac:dyDescent="0.35">
      <c r="A365" s="96" t="s">
        <v>115</v>
      </c>
      <c r="B365" s="97">
        <v>2021</v>
      </c>
      <c r="C365" s="42">
        <v>8.69</v>
      </c>
      <c r="D365" s="97" t="s">
        <v>71</v>
      </c>
      <c r="E365" s="97" t="s">
        <v>28</v>
      </c>
      <c r="F365" s="42">
        <v>9.15</v>
      </c>
      <c r="G365" s="97" t="s">
        <v>216</v>
      </c>
    </row>
    <row r="366" spans="1:7" ht="15" customHeight="1" x14ac:dyDescent="0.35">
      <c r="A366" s="93" t="s">
        <v>115</v>
      </c>
      <c r="B366" s="94">
        <v>2022</v>
      </c>
      <c r="C366" s="95">
        <v>13.89</v>
      </c>
      <c r="D366" s="94" t="s">
        <v>71</v>
      </c>
      <c r="E366" s="94" t="s">
        <v>28</v>
      </c>
      <c r="F366" s="95">
        <v>13.49</v>
      </c>
      <c r="G366" s="94" t="s">
        <v>216</v>
      </c>
    </row>
    <row r="367" spans="1:7" ht="15" customHeight="1" x14ac:dyDescent="0.35">
      <c r="A367" s="96" t="s">
        <v>115</v>
      </c>
      <c r="B367" s="97">
        <v>2023</v>
      </c>
      <c r="C367" s="42">
        <v>15.39</v>
      </c>
      <c r="D367" s="97" t="s">
        <v>71</v>
      </c>
      <c r="E367" s="97" t="s">
        <v>28</v>
      </c>
      <c r="F367" s="42">
        <v>15.39</v>
      </c>
      <c r="G367" s="97" t="s">
        <v>216</v>
      </c>
    </row>
    <row r="368" spans="1:7" ht="15" customHeight="1" x14ac:dyDescent="0.35">
      <c r="A368" s="93" t="s">
        <v>115</v>
      </c>
      <c r="B368" s="94">
        <v>2024</v>
      </c>
      <c r="C368" s="95">
        <v>17.64</v>
      </c>
      <c r="D368" s="94" t="s">
        <v>71</v>
      </c>
      <c r="E368" s="94" t="s">
        <v>28</v>
      </c>
      <c r="F368" s="95">
        <v>17.13</v>
      </c>
      <c r="G368" s="94" t="s">
        <v>216</v>
      </c>
    </row>
    <row r="369" spans="1:7" ht="15" customHeight="1" x14ac:dyDescent="0.35">
      <c r="A369" s="96" t="s">
        <v>116</v>
      </c>
      <c r="B369" s="97">
        <v>2015</v>
      </c>
      <c r="C369" s="42">
        <v>37.51</v>
      </c>
      <c r="D369" s="97" t="s">
        <v>71</v>
      </c>
      <c r="E369" s="97" t="s">
        <v>28</v>
      </c>
      <c r="F369" s="42">
        <v>44.65</v>
      </c>
      <c r="G369" s="97" t="s">
        <v>216</v>
      </c>
    </row>
    <row r="370" spans="1:7" ht="15" customHeight="1" x14ac:dyDescent="0.35">
      <c r="A370" s="93" t="s">
        <v>116</v>
      </c>
      <c r="B370" s="94">
        <v>2016</v>
      </c>
      <c r="C370" s="95">
        <v>14.64</v>
      </c>
      <c r="D370" s="94" t="s">
        <v>71</v>
      </c>
      <c r="E370" s="94" t="s">
        <v>28</v>
      </c>
      <c r="F370" s="95">
        <v>17.22</v>
      </c>
      <c r="G370" s="94" t="s">
        <v>216</v>
      </c>
    </row>
    <row r="371" spans="1:7" ht="15" customHeight="1" x14ac:dyDescent="0.35">
      <c r="A371" s="96" t="s">
        <v>116</v>
      </c>
      <c r="B371" s="97">
        <v>2017</v>
      </c>
      <c r="C371" s="42">
        <v>13.39</v>
      </c>
      <c r="D371" s="97" t="s">
        <v>71</v>
      </c>
      <c r="E371" s="97" t="s">
        <v>28</v>
      </c>
      <c r="F371" s="42">
        <v>15.39</v>
      </c>
      <c r="G371" s="97" t="s">
        <v>216</v>
      </c>
    </row>
    <row r="372" spans="1:7" ht="15" customHeight="1" x14ac:dyDescent="0.35">
      <c r="A372" s="93" t="s">
        <v>116</v>
      </c>
      <c r="B372" s="94">
        <v>2018</v>
      </c>
      <c r="C372" s="95">
        <v>5.69</v>
      </c>
      <c r="D372" s="94" t="s">
        <v>71</v>
      </c>
      <c r="E372" s="94" t="s">
        <v>28</v>
      </c>
      <c r="F372" s="95">
        <v>6.39</v>
      </c>
      <c r="G372" s="94" t="s">
        <v>216</v>
      </c>
    </row>
    <row r="373" spans="1:7" ht="15" customHeight="1" x14ac:dyDescent="0.35">
      <c r="A373" s="96" t="s">
        <v>116</v>
      </c>
      <c r="B373" s="97">
        <v>2019</v>
      </c>
      <c r="C373" s="42">
        <v>5.85</v>
      </c>
      <c r="D373" s="97" t="s">
        <v>71</v>
      </c>
      <c r="E373" s="97" t="s">
        <v>28</v>
      </c>
      <c r="F373" s="42">
        <v>6.43</v>
      </c>
      <c r="G373" s="97" t="s">
        <v>216</v>
      </c>
    </row>
    <row r="374" spans="1:7" ht="15" customHeight="1" x14ac:dyDescent="0.35">
      <c r="A374" s="93" t="s">
        <v>116</v>
      </c>
      <c r="B374" s="94">
        <v>2020</v>
      </c>
      <c r="C374" s="95">
        <v>5.58</v>
      </c>
      <c r="D374" s="94" t="s">
        <v>71</v>
      </c>
      <c r="E374" s="94" t="s">
        <v>28</v>
      </c>
      <c r="F374" s="95">
        <v>6.13</v>
      </c>
      <c r="G374" s="94" t="s">
        <v>216</v>
      </c>
    </row>
    <row r="375" spans="1:7" ht="15" customHeight="1" x14ac:dyDescent="0.35">
      <c r="A375" s="96" t="s">
        <v>116</v>
      </c>
      <c r="B375" s="97">
        <v>2021</v>
      </c>
      <c r="C375" s="42">
        <v>5.42</v>
      </c>
      <c r="D375" s="97" t="s">
        <v>71</v>
      </c>
      <c r="E375" s="97" t="s">
        <v>28</v>
      </c>
      <c r="F375" s="42">
        <v>5.71</v>
      </c>
      <c r="G375" s="97" t="s">
        <v>216</v>
      </c>
    </row>
    <row r="376" spans="1:7" ht="15" customHeight="1" x14ac:dyDescent="0.35">
      <c r="A376" s="93" t="s">
        <v>116</v>
      </c>
      <c r="B376" s="94">
        <v>2022</v>
      </c>
      <c r="C376" s="95">
        <v>3.84</v>
      </c>
      <c r="D376" s="94" t="s">
        <v>71</v>
      </c>
      <c r="E376" s="94" t="s">
        <v>28</v>
      </c>
      <c r="F376" s="95">
        <v>3.73</v>
      </c>
      <c r="G376" s="94" t="s">
        <v>216</v>
      </c>
    </row>
    <row r="377" spans="1:7" ht="15" customHeight="1" x14ac:dyDescent="0.35">
      <c r="A377" s="96" t="s">
        <v>116</v>
      </c>
      <c r="B377" s="97">
        <v>2023</v>
      </c>
      <c r="C377" s="42">
        <v>1.08</v>
      </c>
      <c r="D377" s="97" t="s">
        <v>71</v>
      </c>
      <c r="E377" s="97" t="s">
        <v>28</v>
      </c>
      <c r="F377" s="42">
        <v>1.08</v>
      </c>
      <c r="G377" s="97" t="s">
        <v>216</v>
      </c>
    </row>
    <row r="378" spans="1:7" ht="15" customHeight="1" x14ac:dyDescent="0.35">
      <c r="A378" s="93" t="s">
        <v>116</v>
      </c>
      <c r="B378" s="94">
        <v>2024</v>
      </c>
      <c r="C378" s="95">
        <v>0.95</v>
      </c>
      <c r="D378" s="94" t="s">
        <v>71</v>
      </c>
      <c r="E378" s="94" t="s">
        <v>28</v>
      </c>
      <c r="F378" s="95">
        <v>0.92</v>
      </c>
      <c r="G378" s="94" t="s">
        <v>216</v>
      </c>
    </row>
    <row r="379" spans="1:7" ht="15" customHeight="1" x14ac:dyDescent="0.35">
      <c r="A379" s="96" t="s">
        <v>117</v>
      </c>
      <c r="B379" s="97">
        <v>2021</v>
      </c>
      <c r="C379" s="42">
        <v>31.83</v>
      </c>
      <c r="D379" s="97" t="s">
        <v>71</v>
      </c>
      <c r="E379" s="97" t="s">
        <v>28</v>
      </c>
      <c r="F379" s="42">
        <v>33.51</v>
      </c>
      <c r="G379" s="97" t="s">
        <v>216</v>
      </c>
    </row>
    <row r="380" spans="1:7" ht="15" customHeight="1" x14ac:dyDescent="0.35">
      <c r="A380" s="93" t="s">
        <v>117</v>
      </c>
      <c r="B380" s="94">
        <v>2022</v>
      </c>
      <c r="C380" s="95">
        <v>39.96</v>
      </c>
      <c r="D380" s="94" t="s">
        <v>71</v>
      </c>
      <c r="E380" s="94" t="s">
        <v>28</v>
      </c>
      <c r="F380" s="95">
        <v>38.799999999999997</v>
      </c>
      <c r="G380" s="94" t="s">
        <v>216</v>
      </c>
    </row>
    <row r="381" spans="1:7" ht="15" customHeight="1" x14ac:dyDescent="0.35">
      <c r="A381" s="96" t="s">
        <v>117</v>
      </c>
      <c r="B381" s="97">
        <v>2023</v>
      </c>
      <c r="C381" s="42">
        <v>48.03</v>
      </c>
      <c r="D381" s="97" t="s">
        <v>71</v>
      </c>
      <c r="E381" s="97" t="s">
        <v>28</v>
      </c>
      <c r="F381" s="42">
        <v>48.03</v>
      </c>
      <c r="G381" s="97" t="s">
        <v>216</v>
      </c>
    </row>
    <row r="382" spans="1:7" ht="15" customHeight="1" x14ac:dyDescent="0.35">
      <c r="A382" s="93" t="s">
        <v>117</v>
      </c>
      <c r="B382" s="94">
        <v>2024</v>
      </c>
      <c r="C382" s="95">
        <v>58.94</v>
      </c>
      <c r="D382" s="94" t="s">
        <v>71</v>
      </c>
      <c r="E382" s="94" t="s">
        <v>28</v>
      </c>
      <c r="F382" s="95">
        <v>57.22</v>
      </c>
      <c r="G382" s="94" t="s">
        <v>216</v>
      </c>
    </row>
    <row r="383" spans="1:7" ht="15" customHeight="1" x14ac:dyDescent="0.35">
      <c r="A383" s="96" t="s">
        <v>118</v>
      </c>
      <c r="B383" s="97">
        <v>2015</v>
      </c>
      <c r="C383" s="42">
        <v>4.7300000000000004</v>
      </c>
      <c r="D383" s="97" t="s">
        <v>71</v>
      </c>
      <c r="E383" s="97" t="s">
        <v>20</v>
      </c>
      <c r="F383" s="42">
        <v>5.63</v>
      </c>
      <c r="G383" s="97" t="s">
        <v>216</v>
      </c>
    </row>
    <row r="384" spans="1:7" ht="15" customHeight="1" x14ac:dyDescent="0.35">
      <c r="A384" s="93" t="s">
        <v>118</v>
      </c>
      <c r="B384" s="94">
        <v>2016</v>
      </c>
      <c r="C384" s="95">
        <v>1.32</v>
      </c>
      <c r="D384" s="94" t="s">
        <v>71</v>
      </c>
      <c r="E384" s="94" t="s">
        <v>20</v>
      </c>
      <c r="F384" s="95">
        <v>1.55</v>
      </c>
      <c r="G384" s="94" t="s">
        <v>216</v>
      </c>
    </row>
    <row r="385" spans="1:7" ht="15" customHeight="1" x14ac:dyDescent="0.35">
      <c r="A385" s="96" t="s">
        <v>118</v>
      </c>
      <c r="B385" s="97">
        <v>2017</v>
      </c>
      <c r="C385" s="42">
        <v>4.57</v>
      </c>
      <c r="D385" s="97" t="s">
        <v>71</v>
      </c>
      <c r="E385" s="97" t="s">
        <v>20</v>
      </c>
      <c r="F385" s="42">
        <v>5.25</v>
      </c>
      <c r="G385" s="97" t="s">
        <v>216</v>
      </c>
    </row>
    <row r="386" spans="1:7" ht="15" customHeight="1" x14ac:dyDescent="0.35">
      <c r="A386" s="93" t="s">
        <v>118</v>
      </c>
      <c r="B386" s="94">
        <v>2018</v>
      </c>
      <c r="C386" s="95">
        <v>6.21</v>
      </c>
      <c r="D386" s="94" t="s">
        <v>71</v>
      </c>
      <c r="E386" s="94" t="s">
        <v>20</v>
      </c>
      <c r="F386" s="95">
        <v>6.98</v>
      </c>
      <c r="G386" s="94" t="s">
        <v>216</v>
      </c>
    </row>
    <row r="387" spans="1:7" ht="15" customHeight="1" x14ac:dyDescent="0.35">
      <c r="A387" s="96" t="s">
        <v>118</v>
      </c>
      <c r="B387" s="97">
        <v>2019</v>
      </c>
      <c r="C387" s="42">
        <v>6.09</v>
      </c>
      <c r="D387" s="97" t="s">
        <v>71</v>
      </c>
      <c r="E387" s="97" t="s">
        <v>20</v>
      </c>
      <c r="F387" s="42">
        <v>6.69</v>
      </c>
      <c r="G387" s="97" t="s">
        <v>216</v>
      </c>
    </row>
    <row r="388" spans="1:7" ht="15" customHeight="1" x14ac:dyDescent="0.35">
      <c r="A388" s="93" t="s">
        <v>118</v>
      </c>
      <c r="B388" s="94">
        <v>2020</v>
      </c>
      <c r="C388" s="95">
        <v>5.07</v>
      </c>
      <c r="D388" s="94" t="s">
        <v>71</v>
      </c>
      <c r="E388" s="94" t="s">
        <v>20</v>
      </c>
      <c r="F388" s="95">
        <v>5.57</v>
      </c>
      <c r="G388" s="94" t="s">
        <v>216</v>
      </c>
    </row>
    <row r="389" spans="1:7" ht="15" customHeight="1" x14ac:dyDescent="0.35">
      <c r="A389" s="96" t="s">
        <v>118</v>
      </c>
      <c r="B389" s="97">
        <v>2021</v>
      </c>
      <c r="C389" s="42">
        <v>6.32</v>
      </c>
      <c r="D389" s="97" t="s">
        <v>71</v>
      </c>
      <c r="E389" s="97" t="s">
        <v>20</v>
      </c>
      <c r="F389" s="42">
        <v>6.65</v>
      </c>
      <c r="G389" s="97" t="s">
        <v>216</v>
      </c>
    </row>
    <row r="390" spans="1:7" ht="15" customHeight="1" x14ac:dyDescent="0.35">
      <c r="A390" s="93" t="s">
        <v>118</v>
      </c>
      <c r="B390" s="94">
        <v>2022</v>
      </c>
      <c r="C390" s="95">
        <v>9.2799999999999994</v>
      </c>
      <c r="D390" s="94" t="s">
        <v>71</v>
      </c>
      <c r="E390" s="94" t="s">
        <v>20</v>
      </c>
      <c r="F390" s="95">
        <v>9.01</v>
      </c>
      <c r="G390" s="94" t="s">
        <v>216</v>
      </c>
    </row>
    <row r="391" spans="1:7" ht="15" customHeight="1" x14ac:dyDescent="0.35">
      <c r="A391" s="96" t="s">
        <v>118</v>
      </c>
      <c r="B391" s="97">
        <v>2023</v>
      </c>
      <c r="C391" s="42">
        <v>8.7200000000000006</v>
      </c>
      <c r="D391" s="97" t="s">
        <v>71</v>
      </c>
      <c r="E391" s="97" t="s">
        <v>20</v>
      </c>
      <c r="F391" s="42">
        <v>8.7200000000000006</v>
      </c>
      <c r="G391" s="97" t="s">
        <v>216</v>
      </c>
    </row>
    <row r="392" spans="1:7" ht="15" customHeight="1" x14ac:dyDescent="0.35">
      <c r="A392" s="93" t="s">
        <v>118</v>
      </c>
      <c r="B392" s="94">
        <v>2024</v>
      </c>
      <c r="C392" s="95">
        <v>10.06</v>
      </c>
      <c r="D392" s="94" t="s">
        <v>71</v>
      </c>
      <c r="E392" s="94" t="s">
        <v>20</v>
      </c>
      <c r="F392" s="95">
        <v>9.77</v>
      </c>
      <c r="G392" s="94" t="s">
        <v>216</v>
      </c>
    </row>
    <row r="393" spans="1:7" ht="15" customHeight="1" x14ac:dyDescent="0.35">
      <c r="A393" s="96" t="s">
        <v>119</v>
      </c>
      <c r="B393" s="97">
        <v>2015</v>
      </c>
      <c r="C393" s="42">
        <v>5.98</v>
      </c>
      <c r="D393" s="97" t="s">
        <v>71</v>
      </c>
      <c r="E393" s="97" t="s">
        <v>20</v>
      </c>
      <c r="F393" s="42">
        <v>7.12</v>
      </c>
      <c r="G393" s="97" t="s">
        <v>216</v>
      </c>
    </row>
    <row r="394" spans="1:7" ht="15" customHeight="1" x14ac:dyDescent="0.35">
      <c r="A394" s="93" t="s">
        <v>119</v>
      </c>
      <c r="B394" s="94">
        <v>2016</v>
      </c>
      <c r="C394" s="95">
        <v>5.64</v>
      </c>
      <c r="D394" s="94" t="s">
        <v>71</v>
      </c>
      <c r="E394" s="94" t="s">
        <v>20</v>
      </c>
      <c r="F394" s="95">
        <v>6.64</v>
      </c>
      <c r="G394" s="94" t="s">
        <v>216</v>
      </c>
    </row>
    <row r="395" spans="1:7" ht="15" customHeight="1" x14ac:dyDescent="0.35">
      <c r="A395" s="96" t="s">
        <v>119</v>
      </c>
      <c r="B395" s="97">
        <v>2017</v>
      </c>
      <c r="C395" s="42">
        <v>5.36</v>
      </c>
      <c r="D395" s="97" t="s">
        <v>71</v>
      </c>
      <c r="E395" s="97" t="s">
        <v>20</v>
      </c>
      <c r="F395" s="42">
        <v>6.16</v>
      </c>
      <c r="G395" s="97" t="s">
        <v>216</v>
      </c>
    </row>
    <row r="396" spans="1:7" ht="15" customHeight="1" x14ac:dyDescent="0.35">
      <c r="A396" s="93" t="s">
        <v>119</v>
      </c>
      <c r="B396" s="94">
        <v>2018</v>
      </c>
      <c r="C396" s="95">
        <v>6.73</v>
      </c>
      <c r="D396" s="94" t="s">
        <v>71</v>
      </c>
      <c r="E396" s="94" t="s">
        <v>20</v>
      </c>
      <c r="F396" s="95">
        <v>7.56</v>
      </c>
      <c r="G396" s="94" t="s">
        <v>216</v>
      </c>
    </row>
    <row r="397" spans="1:7" ht="15" customHeight="1" x14ac:dyDescent="0.35">
      <c r="A397" s="96" t="s">
        <v>119</v>
      </c>
      <c r="B397" s="97">
        <v>2019</v>
      </c>
      <c r="C397" s="42">
        <v>0.55000000000000004</v>
      </c>
      <c r="D397" s="97" t="s">
        <v>71</v>
      </c>
      <c r="E397" s="97" t="s">
        <v>20</v>
      </c>
      <c r="F397" s="42">
        <v>0.6</v>
      </c>
      <c r="G397" s="97" t="s">
        <v>216</v>
      </c>
    </row>
    <row r="398" spans="1:7" ht="15" customHeight="1" x14ac:dyDescent="0.35">
      <c r="A398" s="93" t="s">
        <v>119</v>
      </c>
      <c r="B398" s="94">
        <v>2020</v>
      </c>
      <c r="C398" s="95">
        <v>2.38</v>
      </c>
      <c r="D398" s="94" t="s">
        <v>71</v>
      </c>
      <c r="E398" s="94" t="s">
        <v>20</v>
      </c>
      <c r="F398" s="95">
        <v>2.62</v>
      </c>
      <c r="G398" s="94" t="s">
        <v>216</v>
      </c>
    </row>
    <row r="399" spans="1:7" ht="15" customHeight="1" x14ac:dyDescent="0.35">
      <c r="A399" s="96" t="s">
        <v>119</v>
      </c>
      <c r="B399" s="97">
        <v>2021</v>
      </c>
      <c r="C399" s="42">
        <v>1.1200000000000001</v>
      </c>
      <c r="D399" s="97" t="s">
        <v>71</v>
      </c>
      <c r="E399" s="97" t="s">
        <v>20</v>
      </c>
      <c r="F399" s="42">
        <v>1.18</v>
      </c>
      <c r="G399" s="97" t="s">
        <v>216</v>
      </c>
    </row>
    <row r="400" spans="1:7" ht="15" customHeight="1" x14ac:dyDescent="0.35">
      <c r="A400" s="93" t="s">
        <v>119</v>
      </c>
      <c r="B400" s="94">
        <v>2022</v>
      </c>
      <c r="C400" s="95">
        <v>0.64</v>
      </c>
      <c r="D400" s="94" t="s">
        <v>71</v>
      </c>
      <c r="E400" s="94" t="s">
        <v>20</v>
      </c>
      <c r="F400" s="95">
        <v>0.62</v>
      </c>
      <c r="G400" s="94" t="s">
        <v>216</v>
      </c>
    </row>
    <row r="401" spans="1:7" ht="15" customHeight="1" x14ac:dyDescent="0.35">
      <c r="A401" s="96" t="s">
        <v>119</v>
      </c>
      <c r="B401" s="97">
        <v>2023</v>
      </c>
      <c r="C401" s="42">
        <v>8.77</v>
      </c>
      <c r="D401" s="97" t="s">
        <v>71</v>
      </c>
      <c r="E401" s="97" t="s">
        <v>20</v>
      </c>
      <c r="F401" s="42">
        <v>8.77</v>
      </c>
      <c r="G401" s="97" t="s">
        <v>216</v>
      </c>
    </row>
    <row r="402" spans="1:7" ht="15" customHeight="1" x14ac:dyDescent="0.35">
      <c r="A402" s="93" t="s">
        <v>119</v>
      </c>
      <c r="B402" s="94">
        <v>2024</v>
      </c>
      <c r="C402" s="95">
        <v>8.9600000000000009</v>
      </c>
      <c r="D402" s="94" t="s">
        <v>71</v>
      </c>
      <c r="E402" s="94" t="s">
        <v>20</v>
      </c>
      <c r="F402" s="95">
        <v>8.6999999999999993</v>
      </c>
      <c r="G402" s="94" t="s">
        <v>216</v>
      </c>
    </row>
    <row r="403" spans="1:7" ht="15" customHeight="1" x14ac:dyDescent="0.35">
      <c r="A403" s="96" t="s">
        <v>120</v>
      </c>
      <c r="B403" s="97">
        <v>2019</v>
      </c>
      <c r="C403" s="42">
        <v>3.69</v>
      </c>
      <c r="D403" s="97" t="s">
        <v>72</v>
      </c>
      <c r="E403" s="97" t="s">
        <v>20</v>
      </c>
      <c r="F403" s="42">
        <v>4.05</v>
      </c>
      <c r="G403" s="97" t="s">
        <v>216</v>
      </c>
    </row>
    <row r="404" spans="1:7" ht="15" customHeight="1" x14ac:dyDescent="0.35">
      <c r="A404" s="93" t="s">
        <v>120</v>
      </c>
      <c r="B404" s="94">
        <v>2020</v>
      </c>
      <c r="C404" s="95">
        <v>3.51</v>
      </c>
      <c r="D404" s="94" t="s">
        <v>72</v>
      </c>
      <c r="E404" s="94" t="s">
        <v>20</v>
      </c>
      <c r="F404" s="95">
        <v>3.86</v>
      </c>
      <c r="G404" s="94" t="s">
        <v>216</v>
      </c>
    </row>
    <row r="405" spans="1:7" ht="15" customHeight="1" x14ac:dyDescent="0.35">
      <c r="A405" s="96" t="s">
        <v>120</v>
      </c>
      <c r="B405" s="97">
        <v>2021</v>
      </c>
      <c r="C405" s="42">
        <v>3.71</v>
      </c>
      <c r="D405" s="97" t="s">
        <v>72</v>
      </c>
      <c r="E405" s="97" t="s">
        <v>20</v>
      </c>
      <c r="F405" s="42">
        <v>3.91</v>
      </c>
      <c r="G405" s="97" t="s">
        <v>216</v>
      </c>
    </row>
    <row r="406" spans="1:7" ht="15" customHeight="1" x14ac:dyDescent="0.35">
      <c r="A406" s="93" t="s">
        <v>120</v>
      </c>
      <c r="B406" s="94">
        <v>2022</v>
      </c>
      <c r="C406" s="95">
        <v>3.69</v>
      </c>
      <c r="D406" s="94" t="s">
        <v>72</v>
      </c>
      <c r="E406" s="94" t="s">
        <v>20</v>
      </c>
      <c r="F406" s="95">
        <v>3.58</v>
      </c>
      <c r="G406" s="94" t="s">
        <v>216</v>
      </c>
    </row>
    <row r="407" spans="1:7" ht="15" customHeight="1" x14ac:dyDescent="0.35">
      <c r="A407" s="96" t="s">
        <v>120</v>
      </c>
      <c r="B407" s="97">
        <v>2023</v>
      </c>
      <c r="C407" s="42">
        <v>3.77</v>
      </c>
      <c r="D407" s="97" t="s">
        <v>72</v>
      </c>
      <c r="E407" s="97" t="s">
        <v>20</v>
      </c>
      <c r="F407" s="42">
        <v>3.77</v>
      </c>
      <c r="G407" s="97" t="s">
        <v>216</v>
      </c>
    </row>
    <row r="408" spans="1:7" ht="15" customHeight="1" x14ac:dyDescent="0.35">
      <c r="A408" s="93" t="s">
        <v>120</v>
      </c>
      <c r="B408" s="94">
        <v>2024</v>
      </c>
      <c r="C408" s="95">
        <v>18.48</v>
      </c>
      <c r="D408" s="94" t="s">
        <v>72</v>
      </c>
      <c r="E408" s="94" t="s">
        <v>20</v>
      </c>
      <c r="F408" s="95">
        <v>17.940000000000001</v>
      </c>
      <c r="G408" s="94" t="s">
        <v>216</v>
      </c>
    </row>
    <row r="409" spans="1:7" ht="15" customHeight="1" x14ac:dyDescent="0.35">
      <c r="A409" s="96" t="s">
        <v>121</v>
      </c>
      <c r="B409" s="97">
        <v>2015</v>
      </c>
      <c r="C409" s="42">
        <v>18.579999999999998</v>
      </c>
      <c r="D409" s="97" t="s">
        <v>72</v>
      </c>
      <c r="E409" s="97" t="s">
        <v>22</v>
      </c>
      <c r="F409" s="42">
        <v>22.12</v>
      </c>
      <c r="G409" s="97" t="s">
        <v>216</v>
      </c>
    </row>
    <row r="410" spans="1:7" ht="15" customHeight="1" x14ac:dyDescent="0.35">
      <c r="A410" s="93" t="s">
        <v>121</v>
      </c>
      <c r="B410" s="94">
        <v>2016</v>
      </c>
      <c r="C410" s="95">
        <v>19.309999999999999</v>
      </c>
      <c r="D410" s="94" t="s">
        <v>72</v>
      </c>
      <c r="E410" s="94" t="s">
        <v>22</v>
      </c>
      <c r="F410" s="95">
        <v>22.72</v>
      </c>
      <c r="G410" s="94" t="s">
        <v>216</v>
      </c>
    </row>
    <row r="411" spans="1:7" ht="15" customHeight="1" x14ac:dyDescent="0.35">
      <c r="A411" s="96" t="s">
        <v>121</v>
      </c>
      <c r="B411" s="97">
        <v>2017</v>
      </c>
      <c r="C411" s="42">
        <v>18.5</v>
      </c>
      <c r="D411" s="97" t="s">
        <v>72</v>
      </c>
      <c r="E411" s="97" t="s">
        <v>22</v>
      </c>
      <c r="F411" s="42">
        <v>21.26</v>
      </c>
      <c r="G411" s="97" t="s">
        <v>216</v>
      </c>
    </row>
    <row r="412" spans="1:7" ht="15" customHeight="1" x14ac:dyDescent="0.35">
      <c r="A412" s="93" t="s">
        <v>121</v>
      </c>
      <c r="B412" s="94">
        <v>2018</v>
      </c>
      <c r="C412" s="95">
        <v>21.45</v>
      </c>
      <c r="D412" s="94" t="s">
        <v>72</v>
      </c>
      <c r="E412" s="94" t="s">
        <v>22</v>
      </c>
      <c r="F412" s="95">
        <v>24.1</v>
      </c>
      <c r="G412" s="94" t="s">
        <v>216</v>
      </c>
    </row>
    <row r="413" spans="1:7" ht="15" customHeight="1" x14ac:dyDescent="0.35">
      <c r="A413" s="96" t="s">
        <v>121</v>
      </c>
      <c r="B413" s="97">
        <v>2019</v>
      </c>
      <c r="C413" s="42">
        <v>19.440000000000001</v>
      </c>
      <c r="D413" s="97" t="s">
        <v>72</v>
      </c>
      <c r="E413" s="97" t="s">
        <v>22</v>
      </c>
      <c r="F413" s="42">
        <v>21.36</v>
      </c>
      <c r="G413" s="97" t="s">
        <v>216</v>
      </c>
    </row>
    <row r="414" spans="1:7" ht="15" customHeight="1" x14ac:dyDescent="0.35">
      <c r="A414" s="93" t="s">
        <v>121</v>
      </c>
      <c r="B414" s="94">
        <v>2020</v>
      </c>
      <c r="C414" s="95">
        <v>18.920000000000002</v>
      </c>
      <c r="D414" s="94" t="s">
        <v>72</v>
      </c>
      <c r="E414" s="94" t="s">
        <v>22</v>
      </c>
      <c r="F414" s="95">
        <v>20.79</v>
      </c>
      <c r="G414" s="94" t="s">
        <v>216</v>
      </c>
    </row>
    <row r="415" spans="1:7" ht="15" customHeight="1" x14ac:dyDescent="0.35">
      <c r="A415" s="96" t="s">
        <v>121</v>
      </c>
      <c r="B415" s="97">
        <v>2021</v>
      </c>
      <c r="C415" s="42">
        <v>20.32</v>
      </c>
      <c r="D415" s="97" t="s">
        <v>72</v>
      </c>
      <c r="E415" s="97" t="s">
        <v>22</v>
      </c>
      <c r="F415" s="42">
        <v>21.39</v>
      </c>
      <c r="G415" s="97" t="s">
        <v>216</v>
      </c>
    </row>
    <row r="416" spans="1:7" ht="15" customHeight="1" x14ac:dyDescent="0.35">
      <c r="A416" s="93" t="s">
        <v>121</v>
      </c>
      <c r="B416" s="94">
        <v>2022</v>
      </c>
      <c r="C416" s="95">
        <v>19.12</v>
      </c>
      <c r="D416" s="94" t="s">
        <v>72</v>
      </c>
      <c r="E416" s="94" t="s">
        <v>22</v>
      </c>
      <c r="F416" s="95">
        <v>18.559999999999999</v>
      </c>
      <c r="G416" s="94" t="s">
        <v>216</v>
      </c>
    </row>
    <row r="417" spans="1:7" ht="15" customHeight="1" x14ac:dyDescent="0.35">
      <c r="A417" s="96" t="s">
        <v>121</v>
      </c>
      <c r="B417" s="97">
        <v>2024</v>
      </c>
      <c r="C417" s="42">
        <v>18.600000000000001</v>
      </c>
      <c r="D417" s="97" t="s">
        <v>72</v>
      </c>
      <c r="E417" s="97" t="s">
        <v>22</v>
      </c>
      <c r="F417" s="42">
        <v>18.059999999999999</v>
      </c>
      <c r="G417" s="97" t="s">
        <v>216</v>
      </c>
    </row>
    <row r="418" spans="1:7" ht="15" customHeight="1" x14ac:dyDescent="0.35">
      <c r="A418" s="93" t="s">
        <v>122</v>
      </c>
      <c r="B418" s="94">
        <v>2020</v>
      </c>
      <c r="C418" s="95">
        <v>7.06</v>
      </c>
      <c r="D418" s="94" t="s">
        <v>72</v>
      </c>
      <c r="E418" s="94" t="s">
        <v>17</v>
      </c>
      <c r="F418" s="95">
        <v>7.76</v>
      </c>
      <c r="G418" s="94" t="s">
        <v>216</v>
      </c>
    </row>
    <row r="419" spans="1:7" ht="15" customHeight="1" x14ac:dyDescent="0.35">
      <c r="A419" s="96" t="s">
        <v>122</v>
      </c>
      <c r="B419" s="97">
        <v>2021</v>
      </c>
      <c r="C419" s="42">
        <v>9.15</v>
      </c>
      <c r="D419" s="97" t="s">
        <v>72</v>
      </c>
      <c r="E419" s="97" t="s">
        <v>17</v>
      </c>
      <c r="F419" s="42">
        <v>9.6300000000000008</v>
      </c>
      <c r="G419" s="97" t="s">
        <v>216</v>
      </c>
    </row>
    <row r="420" spans="1:7" ht="15" customHeight="1" x14ac:dyDescent="0.35">
      <c r="A420" s="93" t="s">
        <v>122</v>
      </c>
      <c r="B420" s="94">
        <v>2022</v>
      </c>
      <c r="C420" s="95">
        <v>9.84</v>
      </c>
      <c r="D420" s="94" t="s">
        <v>72</v>
      </c>
      <c r="E420" s="94" t="s">
        <v>17</v>
      </c>
      <c r="F420" s="95">
        <v>9.5500000000000007</v>
      </c>
      <c r="G420" s="94" t="s">
        <v>216</v>
      </c>
    </row>
    <row r="421" spans="1:7" ht="15" customHeight="1" x14ac:dyDescent="0.35">
      <c r="A421" s="96" t="s">
        <v>122</v>
      </c>
      <c r="B421" s="97">
        <v>2023</v>
      </c>
      <c r="C421" s="42">
        <v>8.93</v>
      </c>
      <c r="D421" s="97" t="s">
        <v>72</v>
      </c>
      <c r="E421" s="97" t="s">
        <v>17</v>
      </c>
      <c r="F421" s="42">
        <v>8.93</v>
      </c>
      <c r="G421" s="97" t="s">
        <v>216</v>
      </c>
    </row>
    <row r="422" spans="1:7" ht="15" customHeight="1" x14ac:dyDescent="0.35">
      <c r="A422" s="93" t="s">
        <v>122</v>
      </c>
      <c r="B422" s="94">
        <v>2024</v>
      </c>
      <c r="C422" s="95">
        <v>10.09</v>
      </c>
      <c r="D422" s="94" t="s">
        <v>72</v>
      </c>
      <c r="E422" s="94" t="s">
        <v>17</v>
      </c>
      <c r="F422" s="95">
        <v>9.8000000000000007</v>
      </c>
      <c r="G422" s="94" t="s">
        <v>216</v>
      </c>
    </row>
    <row r="423" spans="1:7" ht="15" customHeight="1" x14ac:dyDescent="0.35">
      <c r="A423" s="96" t="s">
        <v>123</v>
      </c>
      <c r="B423" s="97">
        <v>2015</v>
      </c>
      <c r="C423" s="42">
        <v>21.51</v>
      </c>
      <c r="D423" s="97" t="s">
        <v>72</v>
      </c>
      <c r="E423" s="97" t="s">
        <v>22</v>
      </c>
      <c r="F423" s="42">
        <v>25.61</v>
      </c>
      <c r="G423" s="97" t="s">
        <v>216</v>
      </c>
    </row>
    <row r="424" spans="1:7" ht="15" customHeight="1" x14ac:dyDescent="0.35">
      <c r="A424" s="93" t="s">
        <v>123</v>
      </c>
      <c r="B424" s="94">
        <v>2018</v>
      </c>
      <c r="C424" s="95">
        <v>24.8</v>
      </c>
      <c r="D424" s="94" t="s">
        <v>72</v>
      </c>
      <c r="E424" s="94" t="s">
        <v>22</v>
      </c>
      <c r="F424" s="95">
        <v>27.87</v>
      </c>
      <c r="G424" s="94" t="s">
        <v>216</v>
      </c>
    </row>
    <row r="425" spans="1:7" ht="15" customHeight="1" x14ac:dyDescent="0.35">
      <c r="A425" s="96" t="s">
        <v>123</v>
      </c>
      <c r="B425" s="97">
        <v>2019</v>
      </c>
      <c r="C425" s="42">
        <v>16.850000000000001</v>
      </c>
      <c r="D425" s="97" t="s">
        <v>72</v>
      </c>
      <c r="E425" s="97" t="s">
        <v>22</v>
      </c>
      <c r="F425" s="42">
        <v>18.52</v>
      </c>
      <c r="G425" s="97" t="s">
        <v>216</v>
      </c>
    </row>
    <row r="426" spans="1:7" ht="15" customHeight="1" x14ac:dyDescent="0.35">
      <c r="A426" s="93" t="s">
        <v>123</v>
      </c>
      <c r="B426" s="94">
        <v>2020</v>
      </c>
      <c r="C426" s="95">
        <v>16.399999999999999</v>
      </c>
      <c r="D426" s="94" t="s">
        <v>72</v>
      </c>
      <c r="E426" s="94" t="s">
        <v>22</v>
      </c>
      <c r="F426" s="95">
        <v>18.02</v>
      </c>
      <c r="G426" s="94" t="s">
        <v>216</v>
      </c>
    </row>
    <row r="427" spans="1:7" ht="15" customHeight="1" x14ac:dyDescent="0.35">
      <c r="A427" s="96" t="s">
        <v>123</v>
      </c>
      <c r="B427" s="97">
        <v>2021</v>
      </c>
      <c r="C427" s="42">
        <v>17.62</v>
      </c>
      <c r="D427" s="97" t="s">
        <v>72</v>
      </c>
      <c r="E427" s="97" t="s">
        <v>22</v>
      </c>
      <c r="F427" s="42">
        <v>18.55</v>
      </c>
      <c r="G427" s="97" t="s">
        <v>216</v>
      </c>
    </row>
    <row r="428" spans="1:7" ht="15" customHeight="1" x14ac:dyDescent="0.35">
      <c r="A428" s="93" t="s">
        <v>123</v>
      </c>
      <c r="B428" s="94">
        <v>2022</v>
      </c>
      <c r="C428" s="95">
        <v>16.579999999999998</v>
      </c>
      <c r="D428" s="94" t="s">
        <v>72</v>
      </c>
      <c r="E428" s="94" t="s">
        <v>22</v>
      </c>
      <c r="F428" s="95">
        <v>16.100000000000001</v>
      </c>
      <c r="G428" s="94" t="s">
        <v>216</v>
      </c>
    </row>
    <row r="429" spans="1:7" ht="15" customHeight="1" x14ac:dyDescent="0.35">
      <c r="A429" s="96" t="s">
        <v>123</v>
      </c>
      <c r="B429" s="97">
        <v>2023</v>
      </c>
      <c r="C429" s="42">
        <v>16.309999999999999</v>
      </c>
      <c r="D429" s="97" t="s">
        <v>72</v>
      </c>
      <c r="E429" s="97" t="s">
        <v>22</v>
      </c>
      <c r="F429" s="42">
        <v>16.309999999999999</v>
      </c>
      <c r="G429" s="97" t="s">
        <v>216</v>
      </c>
    </row>
    <row r="430" spans="1:7" ht="15" customHeight="1" x14ac:dyDescent="0.35">
      <c r="A430" s="93" t="s">
        <v>123</v>
      </c>
      <c r="B430" s="94">
        <v>2024</v>
      </c>
      <c r="C430" s="95">
        <v>16.12</v>
      </c>
      <c r="D430" s="94" t="s">
        <v>72</v>
      </c>
      <c r="E430" s="94" t="s">
        <v>22</v>
      </c>
      <c r="F430" s="95">
        <v>15.65</v>
      </c>
      <c r="G430" s="94" t="s">
        <v>216</v>
      </c>
    </row>
    <row r="431" spans="1:7" ht="15" customHeight="1" x14ac:dyDescent="0.35">
      <c r="A431" s="96" t="s">
        <v>124</v>
      </c>
      <c r="B431" s="97">
        <v>2023</v>
      </c>
      <c r="C431" s="42">
        <v>2.38</v>
      </c>
      <c r="D431" s="97" t="s">
        <v>72</v>
      </c>
      <c r="E431" s="97" t="s">
        <v>28</v>
      </c>
      <c r="F431" s="42">
        <v>2.38</v>
      </c>
      <c r="G431" s="97" t="s">
        <v>216</v>
      </c>
    </row>
    <row r="432" spans="1:7" ht="15" customHeight="1" x14ac:dyDescent="0.35">
      <c r="A432" s="93" t="s">
        <v>124</v>
      </c>
      <c r="B432" s="94">
        <v>2024</v>
      </c>
      <c r="C432" s="95">
        <v>3.5</v>
      </c>
      <c r="D432" s="94" t="s">
        <v>72</v>
      </c>
      <c r="E432" s="94" t="s">
        <v>28</v>
      </c>
      <c r="F432" s="95">
        <v>3.4</v>
      </c>
      <c r="G432" s="94" t="s">
        <v>216</v>
      </c>
    </row>
    <row r="433" spans="1:7" ht="15" customHeight="1" x14ac:dyDescent="0.35">
      <c r="A433" s="96" t="s">
        <v>224</v>
      </c>
      <c r="B433" s="97">
        <v>2024</v>
      </c>
      <c r="C433" s="42">
        <v>132.24</v>
      </c>
      <c r="D433" s="97" t="s">
        <v>72</v>
      </c>
      <c r="E433" s="97" t="s">
        <v>22</v>
      </c>
      <c r="F433" s="42">
        <v>128.38999999999999</v>
      </c>
      <c r="G433" s="97" t="s">
        <v>216</v>
      </c>
    </row>
    <row r="434" spans="1:7" ht="15" customHeight="1" x14ac:dyDescent="0.35">
      <c r="A434" s="93" t="s">
        <v>125</v>
      </c>
      <c r="B434" s="94">
        <v>2015</v>
      </c>
      <c r="C434" s="95">
        <v>61.95</v>
      </c>
      <c r="D434" s="94" t="s">
        <v>72</v>
      </c>
      <c r="E434" s="94" t="s">
        <v>22</v>
      </c>
      <c r="F434" s="95">
        <v>73.75</v>
      </c>
      <c r="G434" s="94" t="s">
        <v>216</v>
      </c>
    </row>
    <row r="435" spans="1:7" ht="15" customHeight="1" x14ac:dyDescent="0.35">
      <c r="A435" s="96" t="s">
        <v>125</v>
      </c>
      <c r="B435" s="97">
        <v>2015</v>
      </c>
      <c r="C435" s="42">
        <v>12.39</v>
      </c>
      <c r="D435" s="97" t="s">
        <v>71</v>
      </c>
      <c r="E435" s="97" t="s">
        <v>22</v>
      </c>
      <c r="F435" s="42">
        <v>14.75</v>
      </c>
      <c r="G435" s="97" t="s">
        <v>216</v>
      </c>
    </row>
    <row r="436" spans="1:7" ht="15" customHeight="1" x14ac:dyDescent="0.35">
      <c r="A436" s="93" t="s">
        <v>125</v>
      </c>
      <c r="B436" s="94">
        <v>2016</v>
      </c>
      <c r="C436" s="95">
        <v>86.18</v>
      </c>
      <c r="D436" s="94" t="s">
        <v>72</v>
      </c>
      <c r="E436" s="94" t="s">
        <v>22</v>
      </c>
      <c r="F436" s="95">
        <v>101.39</v>
      </c>
      <c r="G436" s="94" t="s">
        <v>216</v>
      </c>
    </row>
    <row r="437" spans="1:7" ht="15" customHeight="1" x14ac:dyDescent="0.35">
      <c r="A437" s="96" t="s">
        <v>125</v>
      </c>
      <c r="B437" s="97">
        <v>2016</v>
      </c>
      <c r="C437" s="42">
        <v>9.23</v>
      </c>
      <c r="D437" s="97" t="s">
        <v>71</v>
      </c>
      <c r="E437" s="97" t="s">
        <v>22</v>
      </c>
      <c r="F437" s="42">
        <v>10.86</v>
      </c>
      <c r="G437" s="97" t="s">
        <v>216</v>
      </c>
    </row>
    <row r="438" spans="1:7" ht="15" customHeight="1" x14ac:dyDescent="0.35">
      <c r="A438" s="93" t="s">
        <v>125</v>
      </c>
      <c r="B438" s="94">
        <v>2017</v>
      </c>
      <c r="C438" s="95">
        <v>83.92</v>
      </c>
      <c r="D438" s="94" t="s">
        <v>72</v>
      </c>
      <c r="E438" s="94" t="s">
        <v>22</v>
      </c>
      <c r="F438" s="95">
        <v>96.46</v>
      </c>
      <c r="G438" s="94" t="s">
        <v>216</v>
      </c>
    </row>
    <row r="439" spans="1:7" ht="15" customHeight="1" x14ac:dyDescent="0.35">
      <c r="A439" s="96" t="s">
        <v>125</v>
      </c>
      <c r="B439" s="97">
        <v>2017</v>
      </c>
      <c r="C439" s="42">
        <v>6.95</v>
      </c>
      <c r="D439" s="97" t="s">
        <v>71</v>
      </c>
      <c r="E439" s="97" t="s">
        <v>22</v>
      </c>
      <c r="F439" s="42">
        <v>7.99</v>
      </c>
      <c r="G439" s="97" t="s">
        <v>216</v>
      </c>
    </row>
    <row r="440" spans="1:7" ht="15" customHeight="1" x14ac:dyDescent="0.35">
      <c r="A440" s="93" t="s">
        <v>125</v>
      </c>
      <c r="B440" s="94">
        <v>2018</v>
      </c>
      <c r="C440" s="95">
        <v>100.9</v>
      </c>
      <c r="D440" s="94" t="s">
        <v>72</v>
      </c>
      <c r="E440" s="94" t="s">
        <v>22</v>
      </c>
      <c r="F440" s="95">
        <v>113.37</v>
      </c>
      <c r="G440" s="94" t="s">
        <v>216</v>
      </c>
    </row>
    <row r="441" spans="1:7" ht="15" customHeight="1" x14ac:dyDescent="0.35">
      <c r="A441" s="96" t="s">
        <v>125</v>
      </c>
      <c r="B441" s="97">
        <v>2018</v>
      </c>
      <c r="C441" s="42">
        <v>9.3000000000000007</v>
      </c>
      <c r="D441" s="97" t="s">
        <v>71</v>
      </c>
      <c r="E441" s="97" t="s">
        <v>22</v>
      </c>
      <c r="F441" s="42">
        <v>10.45</v>
      </c>
      <c r="G441" s="97" t="s">
        <v>216</v>
      </c>
    </row>
    <row r="442" spans="1:7" ht="15" customHeight="1" x14ac:dyDescent="0.35">
      <c r="A442" s="93" t="s">
        <v>125</v>
      </c>
      <c r="B442" s="94">
        <v>2019</v>
      </c>
      <c r="C442" s="95">
        <v>96.46</v>
      </c>
      <c r="D442" s="94" t="s">
        <v>72</v>
      </c>
      <c r="E442" s="94" t="s">
        <v>22</v>
      </c>
      <c r="F442" s="95">
        <v>106</v>
      </c>
      <c r="G442" s="94" t="s">
        <v>216</v>
      </c>
    </row>
    <row r="443" spans="1:7" ht="15" customHeight="1" x14ac:dyDescent="0.35">
      <c r="A443" s="96" t="s">
        <v>125</v>
      </c>
      <c r="B443" s="97">
        <v>2019</v>
      </c>
      <c r="C443" s="42">
        <v>8.0299999999999994</v>
      </c>
      <c r="D443" s="97" t="s">
        <v>71</v>
      </c>
      <c r="E443" s="97" t="s">
        <v>22</v>
      </c>
      <c r="F443" s="42">
        <v>8.82</v>
      </c>
      <c r="G443" s="97" t="s">
        <v>216</v>
      </c>
    </row>
    <row r="444" spans="1:7" ht="15" customHeight="1" x14ac:dyDescent="0.35">
      <c r="A444" s="93" t="s">
        <v>125</v>
      </c>
      <c r="B444" s="94">
        <v>2020</v>
      </c>
      <c r="C444" s="95">
        <v>99.44</v>
      </c>
      <c r="D444" s="94" t="s">
        <v>72</v>
      </c>
      <c r="E444" s="94" t="s">
        <v>22</v>
      </c>
      <c r="F444" s="95">
        <v>109.27</v>
      </c>
      <c r="G444" s="94" t="s">
        <v>216</v>
      </c>
    </row>
    <row r="445" spans="1:7" ht="15" customHeight="1" x14ac:dyDescent="0.35">
      <c r="A445" s="96" t="s">
        <v>125</v>
      </c>
      <c r="B445" s="97">
        <v>2020</v>
      </c>
      <c r="C445" s="42">
        <v>19.850000000000001</v>
      </c>
      <c r="D445" s="97" t="s">
        <v>71</v>
      </c>
      <c r="E445" s="97" t="s">
        <v>22</v>
      </c>
      <c r="F445" s="42">
        <v>21.81</v>
      </c>
      <c r="G445" s="97" t="s">
        <v>216</v>
      </c>
    </row>
    <row r="446" spans="1:7" ht="15" customHeight="1" x14ac:dyDescent="0.35">
      <c r="A446" s="93" t="s">
        <v>125</v>
      </c>
      <c r="B446" s="94">
        <v>2021</v>
      </c>
      <c r="C446" s="95">
        <v>101.47</v>
      </c>
      <c r="D446" s="94" t="s">
        <v>72</v>
      </c>
      <c r="E446" s="94" t="s">
        <v>22</v>
      </c>
      <c r="F446" s="95">
        <v>106.81</v>
      </c>
      <c r="G446" s="94" t="s">
        <v>216</v>
      </c>
    </row>
    <row r="447" spans="1:7" ht="15" customHeight="1" x14ac:dyDescent="0.35">
      <c r="A447" s="96" t="s">
        <v>125</v>
      </c>
      <c r="B447" s="97">
        <v>2021</v>
      </c>
      <c r="C447" s="42">
        <v>46.1</v>
      </c>
      <c r="D447" s="97" t="s">
        <v>71</v>
      </c>
      <c r="E447" s="97" t="s">
        <v>22</v>
      </c>
      <c r="F447" s="42">
        <v>48.53</v>
      </c>
      <c r="G447" s="97" t="s">
        <v>216</v>
      </c>
    </row>
    <row r="448" spans="1:7" ht="15" customHeight="1" x14ac:dyDescent="0.35">
      <c r="A448" s="93" t="s">
        <v>125</v>
      </c>
      <c r="B448" s="94">
        <v>2022</v>
      </c>
      <c r="C448" s="95">
        <v>129.86000000000001</v>
      </c>
      <c r="D448" s="94" t="s">
        <v>72</v>
      </c>
      <c r="E448" s="94" t="s">
        <v>22</v>
      </c>
      <c r="F448" s="95">
        <v>126.08</v>
      </c>
      <c r="G448" s="94" t="s">
        <v>216</v>
      </c>
    </row>
    <row r="449" spans="1:7" ht="15" customHeight="1" x14ac:dyDescent="0.35">
      <c r="A449" s="96" t="s">
        <v>125</v>
      </c>
      <c r="B449" s="97">
        <v>2022</v>
      </c>
      <c r="C449" s="42">
        <v>65.59</v>
      </c>
      <c r="D449" s="97" t="s">
        <v>71</v>
      </c>
      <c r="E449" s="97" t="s">
        <v>22</v>
      </c>
      <c r="F449" s="42">
        <v>63.68</v>
      </c>
      <c r="G449" s="97" t="s">
        <v>216</v>
      </c>
    </row>
    <row r="450" spans="1:7" ht="15" customHeight="1" x14ac:dyDescent="0.35">
      <c r="A450" s="93" t="s">
        <v>125</v>
      </c>
      <c r="B450" s="94">
        <v>2023</v>
      </c>
      <c r="C450" s="95">
        <v>130.81</v>
      </c>
      <c r="D450" s="94" t="s">
        <v>72</v>
      </c>
      <c r="E450" s="94" t="s">
        <v>22</v>
      </c>
      <c r="F450" s="95">
        <v>130.81</v>
      </c>
      <c r="G450" s="94" t="s">
        <v>216</v>
      </c>
    </row>
    <row r="451" spans="1:7" ht="15" customHeight="1" x14ac:dyDescent="0.35">
      <c r="A451" s="96" t="s">
        <v>125</v>
      </c>
      <c r="B451" s="97">
        <v>2023</v>
      </c>
      <c r="C451" s="42">
        <v>93.81</v>
      </c>
      <c r="D451" s="97" t="s">
        <v>71</v>
      </c>
      <c r="E451" s="97" t="s">
        <v>22</v>
      </c>
      <c r="F451" s="42">
        <v>93.81</v>
      </c>
      <c r="G451" s="97" t="s">
        <v>216</v>
      </c>
    </row>
    <row r="452" spans="1:7" ht="15" customHeight="1" x14ac:dyDescent="0.35">
      <c r="A452" s="93" t="s">
        <v>125</v>
      </c>
      <c r="B452" s="94">
        <v>2024</v>
      </c>
      <c r="C452" s="95">
        <v>132.12</v>
      </c>
      <c r="D452" s="94" t="s">
        <v>72</v>
      </c>
      <c r="E452" s="94" t="s">
        <v>22</v>
      </c>
      <c r="F452" s="95">
        <v>128.27000000000001</v>
      </c>
      <c r="G452" s="94" t="s">
        <v>216</v>
      </c>
    </row>
    <row r="453" spans="1:7" ht="15" customHeight="1" x14ac:dyDescent="0.35">
      <c r="A453" s="96" t="s">
        <v>125</v>
      </c>
      <c r="B453" s="97">
        <v>2024</v>
      </c>
      <c r="C453" s="42">
        <v>59.17</v>
      </c>
      <c r="D453" s="97" t="s">
        <v>71</v>
      </c>
      <c r="E453" s="97" t="s">
        <v>22</v>
      </c>
      <c r="F453" s="42">
        <v>57.45</v>
      </c>
      <c r="G453" s="97" t="s">
        <v>216</v>
      </c>
    </row>
    <row r="454" spans="1:7" ht="15" customHeight="1" x14ac:dyDescent="0.35">
      <c r="A454" s="93" t="s">
        <v>225</v>
      </c>
      <c r="B454" s="94">
        <v>2024</v>
      </c>
      <c r="C454" s="95">
        <v>9.1199999999999992</v>
      </c>
      <c r="D454" s="94" t="s">
        <v>72</v>
      </c>
      <c r="E454" s="94" t="s">
        <v>28</v>
      </c>
      <c r="F454" s="95">
        <v>8.85</v>
      </c>
      <c r="G454" s="94" t="s">
        <v>216</v>
      </c>
    </row>
    <row r="455" spans="1:7" ht="15" customHeight="1" x14ac:dyDescent="0.35">
      <c r="A455" s="96" t="s">
        <v>126</v>
      </c>
      <c r="B455" s="97">
        <v>2022</v>
      </c>
      <c r="C455" s="42">
        <v>14.55</v>
      </c>
      <c r="D455" s="97" t="s">
        <v>72</v>
      </c>
      <c r="E455" s="97" t="s">
        <v>28</v>
      </c>
      <c r="F455" s="42">
        <v>14.13</v>
      </c>
      <c r="G455" s="97" t="s">
        <v>216</v>
      </c>
    </row>
    <row r="456" spans="1:7" ht="15" customHeight="1" x14ac:dyDescent="0.35">
      <c r="A456" s="93" t="s">
        <v>126</v>
      </c>
      <c r="B456" s="94">
        <v>2023</v>
      </c>
      <c r="C456" s="95">
        <v>17.25</v>
      </c>
      <c r="D456" s="94" t="s">
        <v>72</v>
      </c>
      <c r="E456" s="94" t="s">
        <v>28</v>
      </c>
      <c r="F456" s="95">
        <v>17.25</v>
      </c>
      <c r="G456" s="94" t="s">
        <v>216</v>
      </c>
    </row>
    <row r="457" spans="1:7" ht="15" customHeight="1" x14ac:dyDescent="0.35">
      <c r="A457" s="96" t="s">
        <v>127</v>
      </c>
      <c r="B457" s="97">
        <v>2015</v>
      </c>
      <c r="C457" s="42">
        <v>4.2</v>
      </c>
      <c r="D457" s="97" t="s">
        <v>71</v>
      </c>
      <c r="E457" s="97" t="s">
        <v>20</v>
      </c>
      <c r="F457" s="42">
        <v>5</v>
      </c>
      <c r="G457" s="97" t="s">
        <v>216</v>
      </c>
    </row>
    <row r="458" spans="1:7" ht="15" customHeight="1" x14ac:dyDescent="0.35">
      <c r="A458" s="93" t="s">
        <v>127</v>
      </c>
      <c r="B458" s="94">
        <v>2016</v>
      </c>
      <c r="C458" s="95">
        <v>2.19</v>
      </c>
      <c r="D458" s="94" t="s">
        <v>71</v>
      </c>
      <c r="E458" s="94" t="s">
        <v>20</v>
      </c>
      <c r="F458" s="95">
        <v>2.58</v>
      </c>
      <c r="G458" s="94" t="s">
        <v>216</v>
      </c>
    </row>
    <row r="459" spans="1:7" ht="15" customHeight="1" x14ac:dyDescent="0.35">
      <c r="A459" s="96" t="s">
        <v>127</v>
      </c>
      <c r="B459" s="97">
        <v>2017</v>
      </c>
      <c r="C459" s="42">
        <v>1.23</v>
      </c>
      <c r="D459" s="97" t="s">
        <v>71</v>
      </c>
      <c r="E459" s="97" t="s">
        <v>20</v>
      </c>
      <c r="F459" s="42">
        <v>1.41</v>
      </c>
      <c r="G459" s="97" t="s">
        <v>216</v>
      </c>
    </row>
    <row r="460" spans="1:7" ht="15" customHeight="1" x14ac:dyDescent="0.35">
      <c r="A460" s="93" t="s">
        <v>127</v>
      </c>
      <c r="B460" s="94">
        <v>2018</v>
      </c>
      <c r="C460" s="95">
        <v>1.35</v>
      </c>
      <c r="D460" s="94" t="s">
        <v>71</v>
      </c>
      <c r="E460" s="94" t="s">
        <v>20</v>
      </c>
      <c r="F460" s="95">
        <v>1.52</v>
      </c>
      <c r="G460" s="94" t="s">
        <v>216</v>
      </c>
    </row>
    <row r="461" spans="1:7" ht="15" customHeight="1" x14ac:dyDescent="0.35">
      <c r="A461" s="96" t="s">
        <v>127</v>
      </c>
      <c r="B461" s="97">
        <v>2019</v>
      </c>
      <c r="C461" s="42">
        <v>2.08</v>
      </c>
      <c r="D461" s="97" t="s">
        <v>71</v>
      </c>
      <c r="E461" s="97" t="s">
        <v>20</v>
      </c>
      <c r="F461" s="42">
        <v>2.29</v>
      </c>
      <c r="G461" s="97" t="s">
        <v>216</v>
      </c>
    </row>
    <row r="462" spans="1:7" ht="15" customHeight="1" x14ac:dyDescent="0.35">
      <c r="A462" s="93" t="s">
        <v>127</v>
      </c>
      <c r="B462" s="94">
        <v>2020</v>
      </c>
      <c r="C462" s="95">
        <v>2.82</v>
      </c>
      <c r="D462" s="94" t="s">
        <v>71</v>
      </c>
      <c r="E462" s="94" t="s">
        <v>20</v>
      </c>
      <c r="F462" s="95">
        <v>3.1</v>
      </c>
      <c r="G462" s="94" t="s">
        <v>216</v>
      </c>
    </row>
    <row r="463" spans="1:7" ht="15" customHeight="1" x14ac:dyDescent="0.35">
      <c r="A463" s="96" t="s">
        <v>127</v>
      </c>
      <c r="B463" s="97">
        <v>2021</v>
      </c>
      <c r="C463" s="42">
        <v>3.8</v>
      </c>
      <c r="D463" s="97" t="s">
        <v>71</v>
      </c>
      <c r="E463" s="97" t="s">
        <v>20</v>
      </c>
      <c r="F463" s="42">
        <v>4</v>
      </c>
      <c r="G463" s="97" t="s">
        <v>216</v>
      </c>
    </row>
    <row r="464" spans="1:7" ht="15" customHeight="1" x14ac:dyDescent="0.35">
      <c r="A464" s="93" t="s">
        <v>127</v>
      </c>
      <c r="B464" s="94">
        <v>2022</v>
      </c>
      <c r="C464" s="95">
        <v>4.4000000000000004</v>
      </c>
      <c r="D464" s="94" t="s">
        <v>71</v>
      </c>
      <c r="E464" s="94" t="s">
        <v>20</v>
      </c>
      <c r="F464" s="95">
        <v>4.2699999999999996</v>
      </c>
      <c r="G464" s="94" t="s">
        <v>216</v>
      </c>
    </row>
    <row r="465" spans="1:7" ht="15" customHeight="1" x14ac:dyDescent="0.35">
      <c r="A465" s="96" t="s">
        <v>127</v>
      </c>
      <c r="B465" s="97">
        <v>2023</v>
      </c>
      <c r="C465" s="42">
        <v>4.5999999999999996</v>
      </c>
      <c r="D465" s="97" t="s">
        <v>71</v>
      </c>
      <c r="E465" s="97" t="s">
        <v>20</v>
      </c>
      <c r="F465" s="42">
        <v>4.5999999999999996</v>
      </c>
      <c r="G465" s="97" t="s">
        <v>216</v>
      </c>
    </row>
    <row r="466" spans="1:7" ht="15" customHeight="1" x14ac:dyDescent="0.35">
      <c r="A466" s="93" t="s">
        <v>127</v>
      </c>
      <c r="B466" s="94">
        <v>2024</v>
      </c>
      <c r="C466" s="95">
        <v>4.71</v>
      </c>
      <c r="D466" s="94" t="s">
        <v>71</v>
      </c>
      <c r="E466" s="94" t="s">
        <v>20</v>
      </c>
      <c r="F466" s="95">
        <v>4.57</v>
      </c>
      <c r="G466" s="94" t="s">
        <v>216</v>
      </c>
    </row>
    <row r="467" spans="1:7" ht="15" customHeight="1" x14ac:dyDescent="0.35">
      <c r="A467" s="96" t="s">
        <v>128</v>
      </c>
      <c r="B467" s="97">
        <v>2015</v>
      </c>
      <c r="C467" s="42">
        <v>37.51</v>
      </c>
      <c r="D467" s="97" t="s">
        <v>71</v>
      </c>
      <c r="E467" s="97" t="s">
        <v>28</v>
      </c>
      <c r="F467" s="42">
        <v>44.65</v>
      </c>
      <c r="G467" s="97" t="s">
        <v>216</v>
      </c>
    </row>
    <row r="468" spans="1:7" ht="15" customHeight="1" x14ac:dyDescent="0.35">
      <c r="A468" s="93" t="s">
        <v>128</v>
      </c>
      <c r="B468" s="94">
        <v>2016</v>
      </c>
      <c r="C468" s="95">
        <v>14.64</v>
      </c>
      <c r="D468" s="94" t="s">
        <v>71</v>
      </c>
      <c r="E468" s="94" t="s">
        <v>28</v>
      </c>
      <c r="F468" s="95">
        <v>17.22</v>
      </c>
      <c r="G468" s="94" t="s">
        <v>216</v>
      </c>
    </row>
    <row r="469" spans="1:7" ht="15" customHeight="1" x14ac:dyDescent="0.35">
      <c r="A469" s="96" t="s">
        <v>128</v>
      </c>
      <c r="B469" s="97">
        <v>2017</v>
      </c>
      <c r="C469" s="42">
        <v>13.39</v>
      </c>
      <c r="D469" s="97" t="s">
        <v>71</v>
      </c>
      <c r="E469" s="97" t="s">
        <v>28</v>
      </c>
      <c r="F469" s="42">
        <v>15.39</v>
      </c>
      <c r="G469" s="97" t="s">
        <v>216</v>
      </c>
    </row>
    <row r="470" spans="1:7" ht="15" customHeight="1" x14ac:dyDescent="0.35">
      <c r="A470" s="93" t="s">
        <v>128</v>
      </c>
      <c r="B470" s="94">
        <v>2018</v>
      </c>
      <c r="C470" s="95">
        <v>5.69</v>
      </c>
      <c r="D470" s="94" t="s">
        <v>71</v>
      </c>
      <c r="E470" s="94" t="s">
        <v>28</v>
      </c>
      <c r="F470" s="95">
        <v>6.39</v>
      </c>
      <c r="G470" s="94" t="s">
        <v>216</v>
      </c>
    </row>
    <row r="471" spans="1:7" ht="15" customHeight="1" x14ac:dyDescent="0.35">
      <c r="A471" s="96" t="s">
        <v>128</v>
      </c>
      <c r="B471" s="97">
        <v>2019</v>
      </c>
      <c r="C471" s="42">
        <v>5.85</v>
      </c>
      <c r="D471" s="97" t="s">
        <v>71</v>
      </c>
      <c r="E471" s="97" t="s">
        <v>28</v>
      </c>
      <c r="F471" s="42">
        <v>6.43</v>
      </c>
      <c r="G471" s="97" t="s">
        <v>216</v>
      </c>
    </row>
    <row r="472" spans="1:7" ht="15" customHeight="1" x14ac:dyDescent="0.35">
      <c r="A472" s="93" t="s">
        <v>128</v>
      </c>
      <c r="B472" s="94">
        <v>2020</v>
      </c>
      <c r="C472" s="95">
        <v>5.58</v>
      </c>
      <c r="D472" s="94" t="s">
        <v>71</v>
      </c>
      <c r="E472" s="94" t="s">
        <v>28</v>
      </c>
      <c r="F472" s="95">
        <v>6.13</v>
      </c>
      <c r="G472" s="94" t="s">
        <v>216</v>
      </c>
    </row>
    <row r="473" spans="1:7" ht="15" customHeight="1" x14ac:dyDescent="0.35">
      <c r="A473" s="96" t="s">
        <v>128</v>
      </c>
      <c r="B473" s="97">
        <v>2021</v>
      </c>
      <c r="C473" s="42">
        <v>4.87</v>
      </c>
      <c r="D473" s="97" t="s">
        <v>71</v>
      </c>
      <c r="E473" s="97" t="s">
        <v>28</v>
      </c>
      <c r="F473" s="42">
        <v>5.13</v>
      </c>
      <c r="G473" s="97" t="s">
        <v>216</v>
      </c>
    </row>
    <row r="474" spans="1:7" ht="15" customHeight="1" x14ac:dyDescent="0.35">
      <c r="A474" s="93" t="s">
        <v>128</v>
      </c>
      <c r="B474" s="94">
        <v>2022</v>
      </c>
      <c r="C474" s="95">
        <v>4.42</v>
      </c>
      <c r="D474" s="94" t="s">
        <v>71</v>
      </c>
      <c r="E474" s="94" t="s">
        <v>28</v>
      </c>
      <c r="F474" s="95">
        <v>4.29</v>
      </c>
      <c r="G474" s="94" t="s">
        <v>216</v>
      </c>
    </row>
    <row r="475" spans="1:7" ht="15" customHeight="1" x14ac:dyDescent="0.35">
      <c r="A475" s="96" t="s">
        <v>128</v>
      </c>
      <c r="B475" s="97">
        <v>2023</v>
      </c>
      <c r="C475" s="42">
        <v>41.95</v>
      </c>
      <c r="D475" s="97" t="s">
        <v>71</v>
      </c>
      <c r="E475" s="97" t="s">
        <v>28</v>
      </c>
      <c r="F475" s="42">
        <v>41.95</v>
      </c>
      <c r="G475" s="97" t="s">
        <v>216</v>
      </c>
    </row>
    <row r="476" spans="1:7" ht="15" customHeight="1" x14ac:dyDescent="0.35">
      <c r="A476" s="93" t="s">
        <v>128</v>
      </c>
      <c r="B476" s="94">
        <v>2024</v>
      </c>
      <c r="C476" s="95">
        <v>36.909999999999997</v>
      </c>
      <c r="D476" s="94" t="s">
        <v>71</v>
      </c>
      <c r="E476" s="94" t="s">
        <v>28</v>
      </c>
      <c r="F476" s="95">
        <v>35.83</v>
      </c>
      <c r="G476" s="94" t="s">
        <v>216</v>
      </c>
    </row>
    <row r="477" spans="1:7" ht="15" customHeight="1" x14ac:dyDescent="0.35">
      <c r="A477" s="96" t="s">
        <v>129</v>
      </c>
      <c r="B477" s="97">
        <v>2015</v>
      </c>
      <c r="C477" s="42">
        <v>0.01</v>
      </c>
      <c r="D477" s="97" t="s">
        <v>72</v>
      </c>
      <c r="E477" s="97" t="s">
        <v>22</v>
      </c>
      <c r="F477" s="42">
        <v>0.01</v>
      </c>
      <c r="G477" s="97" t="s">
        <v>216</v>
      </c>
    </row>
    <row r="478" spans="1:7" ht="15" customHeight="1" x14ac:dyDescent="0.35">
      <c r="A478" s="93" t="s">
        <v>129</v>
      </c>
      <c r="B478" s="94">
        <v>2017</v>
      </c>
      <c r="C478" s="95">
        <v>0.01</v>
      </c>
      <c r="D478" s="94" t="s">
        <v>72</v>
      </c>
      <c r="E478" s="94" t="s">
        <v>22</v>
      </c>
      <c r="F478" s="95">
        <v>0.01</v>
      </c>
      <c r="G478" s="94" t="s">
        <v>216</v>
      </c>
    </row>
    <row r="479" spans="1:7" ht="15" customHeight="1" x14ac:dyDescent="0.35">
      <c r="A479" s="96" t="s">
        <v>129</v>
      </c>
      <c r="B479" s="97">
        <v>2018</v>
      </c>
      <c r="C479" s="42">
        <v>0.02</v>
      </c>
      <c r="D479" s="97" t="s">
        <v>72</v>
      </c>
      <c r="E479" s="97" t="s">
        <v>22</v>
      </c>
      <c r="F479" s="42">
        <v>0.02</v>
      </c>
      <c r="G479" s="97" t="s">
        <v>216</v>
      </c>
    </row>
    <row r="480" spans="1:7" ht="15" customHeight="1" x14ac:dyDescent="0.35">
      <c r="A480" s="93" t="s">
        <v>129</v>
      </c>
      <c r="B480" s="94">
        <v>2019</v>
      </c>
      <c r="C480" s="95">
        <v>0.37</v>
      </c>
      <c r="D480" s="94" t="s">
        <v>72</v>
      </c>
      <c r="E480" s="94" t="s">
        <v>22</v>
      </c>
      <c r="F480" s="95">
        <v>0.41</v>
      </c>
      <c r="G480" s="94" t="s">
        <v>216</v>
      </c>
    </row>
    <row r="481" spans="1:7" ht="15" customHeight="1" x14ac:dyDescent="0.35">
      <c r="A481" s="96" t="s">
        <v>129</v>
      </c>
      <c r="B481" s="97">
        <v>2020</v>
      </c>
      <c r="C481" s="42">
        <v>0.38</v>
      </c>
      <c r="D481" s="97" t="s">
        <v>72</v>
      </c>
      <c r="E481" s="97" t="s">
        <v>22</v>
      </c>
      <c r="F481" s="42">
        <v>0.42</v>
      </c>
      <c r="G481" s="97" t="s">
        <v>216</v>
      </c>
    </row>
    <row r="482" spans="1:7" ht="15" customHeight="1" x14ac:dyDescent="0.35">
      <c r="A482" s="93" t="s">
        <v>129</v>
      </c>
      <c r="B482" s="94">
        <v>2021</v>
      </c>
      <c r="C482" s="95">
        <v>0.36</v>
      </c>
      <c r="D482" s="94" t="s">
        <v>72</v>
      </c>
      <c r="E482" s="94" t="s">
        <v>22</v>
      </c>
      <c r="F482" s="95">
        <v>0.38</v>
      </c>
      <c r="G482" s="94" t="s">
        <v>216</v>
      </c>
    </row>
    <row r="483" spans="1:7" ht="15" customHeight="1" x14ac:dyDescent="0.35">
      <c r="A483" s="96" t="s">
        <v>129</v>
      </c>
      <c r="B483" s="97">
        <v>2022</v>
      </c>
      <c r="C483" s="42">
        <v>1.03</v>
      </c>
      <c r="D483" s="97" t="s">
        <v>72</v>
      </c>
      <c r="E483" s="97" t="s">
        <v>22</v>
      </c>
      <c r="F483" s="42">
        <v>1</v>
      </c>
      <c r="G483" s="97" t="s">
        <v>216</v>
      </c>
    </row>
    <row r="484" spans="1:7" ht="15" customHeight="1" x14ac:dyDescent="0.35">
      <c r="A484" s="93" t="s">
        <v>129</v>
      </c>
      <c r="B484" s="94">
        <v>2023</v>
      </c>
      <c r="C484" s="95">
        <v>0.82</v>
      </c>
      <c r="D484" s="94" t="s">
        <v>72</v>
      </c>
      <c r="E484" s="94" t="s">
        <v>22</v>
      </c>
      <c r="F484" s="95">
        <v>0.82</v>
      </c>
      <c r="G484" s="94" t="s">
        <v>216</v>
      </c>
    </row>
    <row r="485" spans="1:7" ht="15" customHeight="1" x14ac:dyDescent="0.35">
      <c r="A485" s="96" t="s">
        <v>129</v>
      </c>
      <c r="B485" s="97">
        <v>2024</v>
      </c>
      <c r="C485" s="42">
        <v>0.77</v>
      </c>
      <c r="D485" s="97" t="s">
        <v>72</v>
      </c>
      <c r="E485" s="97" t="s">
        <v>22</v>
      </c>
      <c r="F485" s="42">
        <v>0.75</v>
      </c>
      <c r="G485" s="97" t="s">
        <v>216</v>
      </c>
    </row>
    <row r="486" spans="1:7" ht="15" customHeight="1" x14ac:dyDescent="0.35">
      <c r="A486" s="93" t="s">
        <v>130</v>
      </c>
      <c r="B486" s="94">
        <v>2015</v>
      </c>
      <c r="C486" s="95">
        <v>26.71</v>
      </c>
      <c r="D486" s="94" t="s">
        <v>72</v>
      </c>
      <c r="E486" s="94" t="s">
        <v>22</v>
      </c>
      <c r="F486" s="95">
        <v>31.8</v>
      </c>
      <c r="G486" s="94" t="s">
        <v>216</v>
      </c>
    </row>
    <row r="487" spans="1:7" ht="15" customHeight="1" x14ac:dyDescent="0.35">
      <c r="A487" s="96" t="s">
        <v>130</v>
      </c>
      <c r="B487" s="97">
        <v>2016</v>
      </c>
      <c r="C487" s="42">
        <v>23.72</v>
      </c>
      <c r="D487" s="97" t="s">
        <v>72</v>
      </c>
      <c r="E487" s="97" t="s">
        <v>22</v>
      </c>
      <c r="F487" s="42">
        <v>27.91</v>
      </c>
      <c r="G487" s="97" t="s">
        <v>216</v>
      </c>
    </row>
    <row r="488" spans="1:7" ht="15" customHeight="1" x14ac:dyDescent="0.35">
      <c r="A488" s="93" t="s">
        <v>130</v>
      </c>
      <c r="B488" s="94">
        <v>2017</v>
      </c>
      <c r="C488" s="95">
        <v>22.41</v>
      </c>
      <c r="D488" s="94" t="s">
        <v>72</v>
      </c>
      <c r="E488" s="94" t="s">
        <v>22</v>
      </c>
      <c r="F488" s="95">
        <v>25.76</v>
      </c>
      <c r="G488" s="94" t="s">
        <v>216</v>
      </c>
    </row>
    <row r="489" spans="1:7" ht="15" customHeight="1" x14ac:dyDescent="0.35">
      <c r="A489" s="96" t="s">
        <v>130</v>
      </c>
      <c r="B489" s="97">
        <v>2018</v>
      </c>
      <c r="C489" s="42">
        <v>25.46</v>
      </c>
      <c r="D489" s="97" t="s">
        <v>72</v>
      </c>
      <c r="E489" s="97" t="s">
        <v>22</v>
      </c>
      <c r="F489" s="42">
        <v>28.61</v>
      </c>
      <c r="G489" s="97" t="s">
        <v>216</v>
      </c>
    </row>
    <row r="490" spans="1:7" ht="15" customHeight="1" x14ac:dyDescent="0.35">
      <c r="A490" s="93" t="s">
        <v>130</v>
      </c>
      <c r="B490" s="94">
        <v>2019</v>
      </c>
      <c r="C490" s="95">
        <v>23.59</v>
      </c>
      <c r="D490" s="94" t="s">
        <v>72</v>
      </c>
      <c r="E490" s="94" t="s">
        <v>22</v>
      </c>
      <c r="F490" s="95">
        <v>25.92</v>
      </c>
      <c r="G490" s="94" t="s">
        <v>216</v>
      </c>
    </row>
    <row r="491" spans="1:7" ht="15" customHeight="1" x14ac:dyDescent="0.35">
      <c r="A491" s="96" t="s">
        <v>130</v>
      </c>
      <c r="B491" s="97">
        <v>2020</v>
      </c>
      <c r="C491" s="42">
        <v>22.28</v>
      </c>
      <c r="D491" s="97" t="s">
        <v>72</v>
      </c>
      <c r="E491" s="97" t="s">
        <v>22</v>
      </c>
      <c r="F491" s="42">
        <v>24.48</v>
      </c>
      <c r="G491" s="97" t="s">
        <v>216</v>
      </c>
    </row>
    <row r="492" spans="1:7" ht="15" customHeight="1" x14ac:dyDescent="0.35">
      <c r="A492" s="93" t="s">
        <v>130</v>
      </c>
      <c r="B492" s="94">
        <v>2021</v>
      </c>
      <c r="C492" s="95">
        <v>24.8</v>
      </c>
      <c r="D492" s="94" t="s">
        <v>72</v>
      </c>
      <c r="E492" s="94" t="s">
        <v>22</v>
      </c>
      <c r="F492" s="95">
        <v>26.11</v>
      </c>
      <c r="G492" s="94" t="s">
        <v>216</v>
      </c>
    </row>
    <row r="493" spans="1:7" ht="15" customHeight="1" x14ac:dyDescent="0.35">
      <c r="A493" s="96" t="s">
        <v>130</v>
      </c>
      <c r="B493" s="97">
        <v>2022</v>
      </c>
      <c r="C493" s="42">
        <v>23.65</v>
      </c>
      <c r="D493" s="97" t="s">
        <v>72</v>
      </c>
      <c r="E493" s="97" t="s">
        <v>22</v>
      </c>
      <c r="F493" s="42">
        <v>22.96</v>
      </c>
      <c r="G493" s="97" t="s">
        <v>216</v>
      </c>
    </row>
    <row r="494" spans="1:7" ht="15" customHeight="1" x14ac:dyDescent="0.35">
      <c r="A494" s="93" t="s">
        <v>130</v>
      </c>
      <c r="B494" s="94">
        <v>2022</v>
      </c>
      <c r="C494" s="95">
        <v>98.99</v>
      </c>
      <c r="D494" s="94" t="s">
        <v>71</v>
      </c>
      <c r="E494" s="94" t="s">
        <v>22</v>
      </c>
      <c r="F494" s="95">
        <v>96.11</v>
      </c>
      <c r="G494" s="94" t="s">
        <v>216</v>
      </c>
    </row>
    <row r="495" spans="1:7" ht="15" customHeight="1" x14ac:dyDescent="0.35">
      <c r="A495" s="96" t="s">
        <v>130</v>
      </c>
      <c r="B495" s="97">
        <v>2023</v>
      </c>
      <c r="C495" s="42">
        <v>22.28</v>
      </c>
      <c r="D495" s="97" t="s">
        <v>72</v>
      </c>
      <c r="E495" s="97" t="s">
        <v>22</v>
      </c>
      <c r="F495" s="42">
        <v>22.28</v>
      </c>
      <c r="G495" s="97" t="s">
        <v>216</v>
      </c>
    </row>
    <row r="496" spans="1:7" ht="15" customHeight="1" x14ac:dyDescent="0.35">
      <c r="A496" s="93" t="s">
        <v>130</v>
      </c>
      <c r="B496" s="94">
        <v>2023</v>
      </c>
      <c r="C496" s="95">
        <v>88.13</v>
      </c>
      <c r="D496" s="94" t="s">
        <v>71</v>
      </c>
      <c r="E496" s="94" t="s">
        <v>22</v>
      </c>
      <c r="F496" s="95">
        <v>88.13</v>
      </c>
      <c r="G496" s="94" t="s">
        <v>216</v>
      </c>
    </row>
    <row r="497" spans="1:7" ht="15" customHeight="1" x14ac:dyDescent="0.35">
      <c r="A497" s="96" t="s">
        <v>130</v>
      </c>
      <c r="B497" s="97">
        <v>2024</v>
      </c>
      <c r="C497" s="42">
        <v>22.62</v>
      </c>
      <c r="D497" s="97" t="s">
        <v>72</v>
      </c>
      <c r="E497" s="97" t="s">
        <v>22</v>
      </c>
      <c r="F497" s="42">
        <v>21.96</v>
      </c>
      <c r="G497" s="97" t="s">
        <v>216</v>
      </c>
    </row>
    <row r="498" spans="1:7" ht="15" customHeight="1" x14ac:dyDescent="0.35">
      <c r="A498" s="93" t="s">
        <v>130</v>
      </c>
      <c r="B498" s="94">
        <v>2024</v>
      </c>
      <c r="C498" s="95">
        <v>45.06</v>
      </c>
      <c r="D498" s="94" t="s">
        <v>71</v>
      </c>
      <c r="E498" s="94" t="s">
        <v>22</v>
      </c>
      <c r="F498" s="95">
        <v>43.75</v>
      </c>
      <c r="G498" s="94" t="s">
        <v>216</v>
      </c>
    </row>
    <row r="499" spans="1:7" ht="15" customHeight="1" x14ac:dyDescent="0.35">
      <c r="A499" s="96" t="s">
        <v>131</v>
      </c>
      <c r="B499" s="97">
        <v>2022</v>
      </c>
      <c r="C499" s="42">
        <v>137.30000000000001</v>
      </c>
      <c r="D499" s="97" t="s">
        <v>72</v>
      </c>
      <c r="E499" s="97" t="s">
        <v>24</v>
      </c>
      <c r="F499" s="42">
        <v>133.30000000000001</v>
      </c>
      <c r="G499" s="97" t="s">
        <v>216</v>
      </c>
    </row>
    <row r="500" spans="1:7" ht="15" customHeight="1" x14ac:dyDescent="0.35">
      <c r="A500" s="93" t="s">
        <v>131</v>
      </c>
      <c r="B500" s="94">
        <v>2023</v>
      </c>
      <c r="C500" s="95">
        <v>155.87</v>
      </c>
      <c r="D500" s="94" t="s">
        <v>72</v>
      </c>
      <c r="E500" s="94" t="s">
        <v>24</v>
      </c>
      <c r="F500" s="95">
        <v>155.87</v>
      </c>
      <c r="G500" s="94" t="s">
        <v>216</v>
      </c>
    </row>
    <row r="501" spans="1:7" ht="15" customHeight="1" x14ac:dyDescent="0.35">
      <c r="A501" s="96" t="s">
        <v>131</v>
      </c>
      <c r="B501" s="97">
        <v>2024</v>
      </c>
      <c r="C501" s="42">
        <v>167.17</v>
      </c>
      <c r="D501" s="97" t="s">
        <v>72</v>
      </c>
      <c r="E501" s="97" t="s">
        <v>24</v>
      </c>
      <c r="F501" s="42">
        <v>162.30000000000001</v>
      </c>
      <c r="G501" s="97" t="s">
        <v>216</v>
      </c>
    </row>
    <row r="502" spans="1:7" ht="15" customHeight="1" x14ac:dyDescent="0.35">
      <c r="A502" s="93" t="s">
        <v>132</v>
      </c>
      <c r="B502" s="94">
        <v>2023</v>
      </c>
      <c r="C502" s="95">
        <v>22.2</v>
      </c>
      <c r="D502" s="94" t="s">
        <v>71</v>
      </c>
      <c r="E502" s="94" t="s">
        <v>26</v>
      </c>
      <c r="F502" s="95">
        <v>22.2</v>
      </c>
      <c r="G502" s="94" t="s">
        <v>216</v>
      </c>
    </row>
    <row r="503" spans="1:7" ht="15" customHeight="1" x14ac:dyDescent="0.35">
      <c r="A503" s="96" t="s">
        <v>132</v>
      </c>
      <c r="B503" s="97">
        <v>2024</v>
      </c>
      <c r="C503" s="42">
        <v>25.75</v>
      </c>
      <c r="D503" s="97" t="s">
        <v>71</v>
      </c>
      <c r="E503" s="97" t="s">
        <v>26</v>
      </c>
      <c r="F503" s="42">
        <v>25</v>
      </c>
      <c r="G503" s="97" t="s">
        <v>216</v>
      </c>
    </row>
    <row r="504" spans="1:7" ht="15" customHeight="1" x14ac:dyDescent="0.35">
      <c r="A504" s="93" t="s">
        <v>133</v>
      </c>
      <c r="B504" s="94">
        <v>2023</v>
      </c>
      <c r="C504" s="95">
        <v>15.53</v>
      </c>
      <c r="D504" s="94" t="s">
        <v>72</v>
      </c>
      <c r="E504" s="94" t="s">
        <v>24</v>
      </c>
      <c r="F504" s="95">
        <v>15.53</v>
      </c>
      <c r="G504" s="94" t="s">
        <v>216</v>
      </c>
    </row>
    <row r="505" spans="1:7" ht="15" customHeight="1" x14ac:dyDescent="0.35">
      <c r="A505" s="96" t="s">
        <v>133</v>
      </c>
      <c r="B505" s="97">
        <v>2024</v>
      </c>
      <c r="C505" s="42">
        <v>17.690000000000001</v>
      </c>
      <c r="D505" s="97" t="s">
        <v>72</v>
      </c>
      <c r="E505" s="97" t="s">
        <v>24</v>
      </c>
      <c r="F505" s="42">
        <v>17.170000000000002</v>
      </c>
      <c r="G505" s="97" t="s">
        <v>216</v>
      </c>
    </row>
    <row r="506" spans="1:7" ht="15" customHeight="1" x14ac:dyDescent="0.35">
      <c r="A506" s="93" t="s">
        <v>134</v>
      </c>
      <c r="B506" s="94">
        <v>2017</v>
      </c>
      <c r="C506" s="95">
        <v>12.6</v>
      </c>
      <c r="D506" s="94" t="s">
        <v>72</v>
      </c>
      <c r="E506" s="94" t="s">
        <v>24</v>
      </c>
      <c r="F506" s="95">
        <v>14.48</v>
      </c>
      <c r="G506" s="94" t="s">
        <v>216</v>
      </c>
    </row>
    <row r="507" spans="1:7" ht="15" customHeight="1" x14ac:dyDescent="0.35">
      <c r="A507" s="96" t="s">
        <v>134</v>
      </c>
      <c r="B507" s="97">
        <v>2018</v>
      </c>
      <c r="C507" s="42">
        <v>13.68</v>
      </c>
      <c r="D507" s="97" t="s">
        <v>72</v>
      </c>
      <c r="E507" s="97" t="s">
        <v>24</v>
      </c>
      <c r="F507" s="42">
        <v>15.37</v>
      </c>
      <c r="G507" s="97" t="s">
        <v>216</v>
      </c>
    </row>
    <row r="508" spans="1:7" ht="15" customHeight="1" x14ac:dyDescent="0.35">
      <c r="A508" s="93" t="s">
        <v>134</v>
      </c>
      <c r="B508" s="94">
        <v>2019</v>
      </c>
      <c r="C508" s="95">
        <v>13.01</v>
      </c>
      <c r="D508" s="94" t="s">
        <v>72</v>
      </c>
      <c r="E508" s="94" t="s">
        <v>24</v>
      </c>
      <c r="F508" s="95">
        <v>14.3</v>
      </c>
      <c r="G508" s="94" t="s">
        <v>216</v>
      </c>
    </row>
    <row r="509" spans="1:7" ht="15" customHeight="1" x14ac:dyDescent="0.35">
      <c r="A509" s="96" t="s">
        <v>134</v>
      </c>
      <c r="B509" s="97">
        <v>2020</v>
      </c>
      <c r="C509" s="42">
        <v>11.8</v>
      </c>
      <c r="D509" s="97" t="s">
        <v>72</v>
      </c>
      <c r="E509" s="97" t="s">
        <v>24</v>
      </c>
      <c r="F509" s="42">
        <v>12.97</v>
      </c>
      <c r="G509" s="97" t="s">
        <v>216</v>
      </c>
    </row>
    <row r="510" spans="1:7" ht="15" customHeight="1" x14ac:dyDescent="0.35">
      <c r="A510" s="93" t="s">
        <v>134</v>
      </c>
      <c r="B510" s="94">
        <v>2021</v>
      </c>
      <c r="C510" s="95">
        <v>12.23</v>
      </c>
      <c r="D510" s="94" t="s">
        <v>72</v>
      </c>
      <c r="E510" s="94" t="s">
        <v>24</v>
      </c>
      <c r="F510" s="95">
        <v>12.87</v>
      </c>
      <c r="G510" s="94" t="s">
        <v>216</v>
      </c>
    </row>
    <row r="511" spans="1:7" ht="15" customHeight="1" x14ac:dyDescent="0.35">
      <c r="A511" s="96" t="s">
        <v>134</v>
      </c>
      <c r="B511" s="97">
        <v>2022</v>
      </c>
      <c r="C511" s="42">
        <v>12.6</v>
      </c>
      <c r="D511" s="97" t="s">
        <v>72</v>
      </c>
      <c r="E511" s="97" t="s">
        <v>24</v>
      </c>
      <c r="F511" s="42">
        <v>12.23</v>
      </c>
      <c r="G511" s="97" t="s">
        <v>216</v>
      </c>
    </row>
    <row r="512" spans="1:7" ht="15" customHeight="1" x14ac:dyDescent="0.35">
      <c r="A512" s="93" t="s">
        <v>134</v>
      </c>
      <c r="B512" s="94">
        <v>2023</v>
      </c>
      <c r="C512" s="95">
        <v>13.86</v>
      </c>
      <c r="D512" s="94" t="s">
        <v>72</v>
      </c>
      <c r="E512" s="94" t="s">
        <v>24</v>
      </c>
      <c r="F512" s="95">
        <v>13.86</v>
      </c>
      <c r="G512" s="94" t="s">
        <v>216</v>
      </c>
    </row>
    <row r="513" spans="1:7" ht="15" customHeight="1" x14ac:dyDescent="0.35">
      <c r="A513" s="96" t="s">
        <v>134</v>
      </c>
      <c r="B513" s="97">
        <v>2024</v>
      </c>
      <c r="C513" s="42">
        <v>15.09</v>
      </c>
      <c r="D513" s="97" t="s">
        <v>72</v>
      </c>
      <c r="E513" s="97" t="s">
        <v>24</v>
      </c>
      <c r="F513" s="42">
        <v>14.65</v>
      </c>
      <c r="G513" s="97" t="s">
        <v>216</v>
      </c>
    </row>
  </sheetData>
  <autoFilter ref="A1:G513" xr:uid="{00000000-0009-0000-0000-000006000000}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E7D32"/>
  </sheetPr>
  <dimension ref="A1:F631"/>
  <sheetViews>
    <sheetView showGridLines="0" zoomScaleNormal="100" workbookViewId="0">
      <pane ySplit="1" topLeftCell="A634" activePane="bottomLeft" state="frozen"/>
      <selection pane="bottomLeft"/>
    </sheetView>
  </sheetViews>
  <sheetFormatPr defaultColWidth="8.6328125" defaultRowHeight="14.5" x14ac:dyDescent="0.35"/>
  <cols>
    <col min="1" max="6" width="22" style="13" customWidth="1"/>
  </cols>
  <sheetData>
    <row r="1" spans="1:6" ht="15" customHeight="1" x14ac:dyDescent="0.35">
      <c r="A1" s="98" t="s">
        <v>33</v>
      </c>
      <c r="B1" s="98" t="s">
        <v>34</v>
      </c>
      <c r="C1" s="98" t="s">
        <v>37</v>
      </c>
      <c r="D1" s="98" t="s">
        <v>1</v>
      </c>
      <c r="E1" s="98" t="s">
        <v>226</v>
      </c>
      <c r="F1" s="98" t="s">
        <v>227</v>
      </c>
    </row>
    <row r="2" spans="1:6" ht="15" customHeight="1" x14ac:dyDescent="0.35">
      <c r="A2" s="93" t="s">
        <v>215</v>
      </c>
      <c r="B2" s="94">
        <v>2015</v>
      </c>
      <c r="C2" s="99">
        <v>12.27</v>
      </c>
      <c r="D2" s="94" t="s">
        <v>22</v>
      </c>
      <c r="E2" s="99">
        <v>100</v>
      </c>
      <c r="F2" s="95"/>
    </row>
    <row r="3" spans="1:6" ht="15" customHeight="1" x14ac:dyDescent="0.35">
      <c r="A3" s="96" t="s">
        <v>215</v>
      </c>
      <c r="B3" s="97">
        <v>2016</v>
      </c>
      <c r="C3" s="43">
        <v>9.0299999999999994</v>
      </c>
      <c r="D3" s="97" t="s">
        <v>22</v>
      </c>
      <c r="E3" s="43">
        <v>73.599999999999994</v>
      </c>
      <c r="F3" s="42">
        <v>-26.41</v>
      </c>
    </row>
    <row r="4" spans="1:6" ht="15" customHeight="1" x14ac:dyDescent="0.35">
      <c r="A4" s="93" t="s">
        <v>215</v>
      </c>
      <c r="B4" s="94">
        <v>2017</v>
      </c>
      <c r="C4" s="99">
        <v>9.83</v>
      </c>
      <c r="D4" s="94" t="s">
        <v>22</v>
      </c>
      <c r="E4" s="99">
        <v>80.099999999999994</v>
      </c>
      <c r="F4" s="95">
        <v>8.86</v>
      </c>
    </row>
    <row r="5" spans="1:6" ht="15" customHeight="1" x14ac:dyDescent="0.35">
      <c r="A5" s="96" t="s">
        <v>215</v>
      </c>
      <c r="B5" s="97">
        <v>2018</v>
      </c>
      <c r="C5" s="43">
        <v>9.65</v>
      </c>
      <c r="D5" s="97" t="s">
        <v>22</v>
      </c>
      <c r="E5" s="43">
        <v>78.599999999999994</v>
      </c>
      <c r="F5" s="42">
        <v>-1.83</v>
      </c>
    </row>
    <row r="6" spans="1:6" ht="15" customHeight="1" x14ac:dyDescent="0.35">
      <c r="A6" s="93" t="s">
        <v>215</v>
      </c>
      <c r="B6" s="94">
        <v>2019</v>
      </c>
      <c r="C6" s="99">
        <v>9.23</v>
      </c>
      <c r="D6" s="94" t="s">
        <v>22</v>
      </c>
      <c r="E6" s="99">
        <v>75.2</v>
      </c>
      <c r="F6" s="95">
        <v>-4.3499999999999996</v>
      </c>
    </row>
    <row r="7" spans="1:6" ht="15" customHeight="1" x14ac:dyDescent="0.35">
      <c r="A7" s="96" t="s">
        <v>215</v>
      </c>
      <c r="B7" s="97">
        <v>2020</v>
      </c>
      <c r="C7" s="43">
        <v>8.69</v>
      </c>
      <c r="D7" s="97" t="s">
        <v>22</v>
      </c>
      <c r="E7" s="43">
        <v>70.8</v>
      </c>
      <c r="F7" s="42">
        <v>-5.85</v>
      </c>
    </row>
    <row r="8" spans="1:6" ht="15" customHeight="1" x14ac:dyDescent="0.35">
      <c r="A8" s="93" t="s">
        <v>215</v>
      </c>
      <c r="B8" s="94">
        <v>2021</v>
      </c>
      <c r="C8" s="99">
        <v>9.82</v>
      </c>
      <c r="D8" s="94" t="s">
        <v>22</v>
      </c>
      <c r="E8" s="99">
        <v>80</v>
      </c>
      <c r="F8" s="95">
        <v>13</v>
      </c>
    </row>
    <row r="9" spans="1:6" ht="15" customHeight="1" x14ac:dyDescent="0.35">
      <c r="A9" s="96" t="s">
        <v>215</v>
      </c>
      <c r="B9" s="97">
        <v>2022</v>
      </c>
      <c r="C9" s="43">
        <v>8.9600000000000009</v>
      </c>
      <c r="D9" s="97" t="s">
        <v>22</v>
      </c>
      <c r="E9" s="43">
        <v>73</v>
      </c>
      <c r="F9" s="42">
        <v>-8.76</v>
      </c>
    </row>
    <row r="10" spans="1:6" ht="15" customHeight="1" x14ac:dyDescent="0.35">
      <c r="A10" s="93" t="s">
        <v>215</v>
      </c>
      <c r="B10" s="94">
        <v>2023</v>
      </c>
      <c r="C10" s="99">
        <v>8.56</v>
      </c>
      <c r="D10" s="94" t="s">
        <v>22</v>
      </c>
      <c r="E10" s="99">
        <v>69.8</v>
      </c>
      <c r="F10" s="95">
        <v>-4.46</v>
      </c>
    </row>
    <row r="11" spans="1:6" ht="15" customHeight="1" x14ac:dyDescent="0.35">
      <c r="A11" s="96" t="s">
        <v>70</v>
      </c>
      <c r="B11" s="97">
        <v>2015</v>
      </c>
      <c r="C11" s="43">
        <v>789.07</v>
      </c>
      <c r="D11" s="97" t="s">
        <v>26</v>
      </c>
      <c r="E11" s="43">
        <v>100</v>
      </c>
      <c r="F11" s="42"/>
    </row>
    <row r="12" spans="1:6" ht="15" customHeight="1" x14ac:dyDescent="0.35">
      <c r="A12" s="93" t="s">
        <v>70</v>
      </c>
      <c r="B12" s="94">
        <v>2016</v>
      </c>
      <c r="C12" s="99">
        <v>886.24</v>
      </c>
      <c r="D12" s="94" t="s">
        <v>26</v>
      </c>
      <c r="E12" s="99">
        <v>112.3</v>
      </c>
      <c r="F12" s="95">
        <v>12.31</v>
      </c>
    </row>
    <row r="13" spans="1:6" ht="15" customHeight="1" x14ac:dyDescent="0.35">
      <c r="A13" s="96" t="s">
        <v>70</v>
      </c>
      <c r="B13" s="97">
        <v>2017</v>
      </c>
      <c r="C13" s="43">
        <v>905.03</v>
      </c>
      <c r="D13" s="97" t="s">
        <v>26</v>
      </c>
      <c r="E13" s="43">
        <v>114.7</v>
      </c>
      <c r="F13" s="42">
        <v>2.12</v>
      </c>
    </row>
    <row r="14" spans="1:6" ht="15" customHeight="1" x14ac:dyDescent="0.35">
      <c r="A14" s="93" t="s">
        <v>70</v>
      </c>
      <c r="B14" s="94">
        <v>2018</v>
      </c>
      <c r="C14" s="99">
        <v>923.96</v>
      </c>
      <c r="D14" s="94" t="s">
        <v>26</v>
      </c>
      <c r="E14" s="99">
        <v>117.1</v>
      </c>
      <c r="F14" s="95">
        <v>2.09</v>
      </c>
    </row>
    <row r="15" spans="1:6" ht="15" customHeight="1" x14ac:dyDescent="0.35">
      <c r="A15" s="96" t="s">
        <v>70</v>
      </c>
      <c r="B15" s="97">
        <v>2019</v>
      </c>
      <c r="C15" s="43">
        <v>915.12</v>
      </c>
      <c r="D15" s="97" t="s">
        <v>26</v>
      </c>
      <c r="E15" s="43">
        <v>116</v>
      </c>
      <c r="F15" s="42">
        <v>-0.96</v>
      </c>
    </row>
    <row r="16" spans="1:6" ht="15" customHeight="1" x14ac:dyDescent="0.35">
      <c r="A16" s="93" t="s">
        <v>70</v>
      </c>
      <c r="B16" s="94">
        <v>2020</v>
      </c>
      <c r="C16" s="99">
        <v>853.61</v>
      </c>
      <c r="D16" s="94" t="s">
        <v>26</v>
      </c>
      <c r="E16" s="99">
        <v>108.2</v>
      </c>
      <c r="F16" s="95">
        <v>-6.72</v>
      </c>
    </row>
    <row r="17" spans="1:6" ht="15" customHeight="1" x14ac:dyDescent="0.35">
      <c r="A17" s="96" t="s">
        <v>70</v>
      </c>
      <c r="B17" s="97">
        <v>2021</v>
      </c>
      <c r="C17" s="43">
        <v>844.41</v>
      </c>
      <c r="D17" s="97" t="s">
        <v>26</v>
      </c>
      <c r="E17" s="43">
        <v>107</v>
      </c>
      <c r="F17" s="42">
        <v>-1.08</v>
      </c>
    </row>
    <row r="18" spans="1:6" ht="15" customHeight="1" x14ac:dyDescent="0.35">
      <c r="A18" s="93" t="s">
        <v>70</v>
      </c>
      <c r="B18" s="94">
        <v>2022</v>
      </c>
      <c r="C18" s="99">
        <v>857.27</v>
      </c>
      <c r="D18" s="94" t="s">
        <v>26</v>
      </c>
      <c r="E18" s="99">
        <v>108.6</v>
      </c>
      <c r="F18" s="95">
        <v>1.52</v>
      </c>
    </row>
    <row r="19" spans="1:6" ht="15" customHeight="1" x14ac:dyDescent="0.35">
      <c r="A19" s="96" t="s">
        <v>70</v>
      </c>
      <c r="B19" s="97">
        <v>2023</v>
      </c>
      <c r="C19" s="43">
        <v>875.95</v>
      </c>
      <c r="D19" s="97" t="s">
        <v>26</v>
      </c>
      <c r="E19" s="43">
        <v>111</v>
      </c>
      <c r="F19" s="42">
        <v>2.1800000000000002</v>
      </c>
    </row>
    <row r="20" spans="1:6" ht="15" customHeight="1" x14ac:dyDescent="0.35">
      <c r="A20" s="93" t="s">
        <v>73</v>
      </c>
      <c r="B20" s="94">
        <v>2015</v>
      </c>
      <c r="C20" s="99">
        <v>456.99</v>
      </c>
      <c r="D20" s="94" t="s">
        <v>24</v>
      </c>
      <c r="E20" s="99">
        <v>100</v>
      </c>
      <c r="F20" s="95"/>
    </row>
    <row r="21" spans="1:6" ht="15" customHeight="1" x14ac:dyDescent="0.35">
      <c r="A21" s="96" t="s">
        <v>73</v>
      </c>
      <c r="B21" s="97">
        <v>2016</v>
      </c>
      <c r="C21" s="43">
        <v>440.31</v>
      </c>
      <c r="D21" s="97" t="s">
        <v>24</v>
      </c>
      <c r="E21" s="43">
        <v>96.4</v>
      </c>
      <c r="F21" s="42">
        <v>-3.65</v>
      </c>
    </row>
    <row r="22" spans="1:6" ht="15" customHeight="1" x14ac:dyDescent="0.35">
      <c r="A22" s="93" t="s">
        <v>73</v>
      </c>
      <c r="B22" s="94">
        <v>2017</v>
      </c>
      <c r="C22" s="99">
        <v>444.53</v>
      </c>
      <c r="D22" s="94" t="s">
        <v>24</v>
      </c>
      <c r="E22" s="99">
        <v>97.3</v>
      </c>
      <c r="F22" s="95">
        <v>0.96</v>
      </c>
    </row>
    <row r="23" spans="1:6" ht="15" customHeight="1" x14ac:dyDescent="0.35">
      <c r="A23" s="96" t="s">
        <v>73</v>
      </c>
      <c r="B23" s="97">
        <v>2018</v>
      </c>
      <c r="C23" s="43">
        <v>442.66</v>
      </c>
      <c r="D23" s="97" t="s">
        <v>24</v>
      </c>
      <c r="E23" s="43">
        <v>96.9</v>
      </c>
      <c r="F23" s="42">
        <v>-0.42</v>
      </c>
    </row>
    <row r="24" spans="1:6" ht="15" customHeight="1" x14ac:dyDescent="0.35">
      <c r="A24" s="93" t="s">
        <v>73</v>
      </c>
      <c r="B24" s="94">
        <v>2019</v>
      </c>
      <c r="C24" s="99">
        <v>439.79</v>
      </c>
      <c r="D24" s="94" t="s">
        <v>24</v>
      </c>
      <c r="E24" s="99">
        <v>96.2</v>
      </c>
      <c r="F24" s="95">
        <v>-0.65</v>
      </c>
    </row>
    <row r="25" spans="1:6" ht="15" customHeight="1" x14ac:dyDescent="0.35">
      <c r="A25" s="96" t="s">
        <v>73</v>
      </c>
      <c r="B25" s="97">
        <v>2020</v>
      </c>
      <c r="C25" s="43">
        <v>425.46</v>
      </c>
      <c r="D25" s="97" t="s">
        <v>24</v>
      </c>
      <c r="E25" s="43">
        <v>93.1</v>
      </c>
      <c r="F25" s="42">
        <v>-3.26</v>
      </c>
    </row>
    <row r="26" spans="1:6" ht="15" customHeight="1" x14ac:dyDescent="0.35">
      <c r="A26" s="93" t="s">
        <v>73</v>
      </c>
      <c r="B26" s="94">
        <v>2021</v>
      </c>
      <c r="C26" s="99">
        <v>430.48</v>
      </c>
      <c r="D26" s="94" t="s">
        <v>24</v>
      </c>
      <c r="E26" s="99">
        <v>94.2</v>
      </c>
      <c r="F26" s="95">
        <v>1.18</v>
      </c>
    </row>
    <row r="27" spans="1:6" ht="15" customHeight="1" x14ac:dyDescent="0.35">
      <c r="A27" s="96" t="s">
        <v>73</v>
      </c>
      <c r="B27" s="97">
        <v>2022</v>
      </c>
      <c r="C27" s="43">
        <v>450.36</v>
      </c>
      <c r="D27" s="97" t="s">
        <v>24</v>
      </c>
      <c r="E27" s="43">
        <v>98.5</v>
      </c>
      <c r="F27" s="42">
        <v>4.62</v>
      </c>
    </row>
    <row r="28" spans="1:6" ht="15" customHeight="1" x14ac:dyDescent="0.35">
      <c r="A28" s="93" t="s">
        <v>73</v>
      </c>
      <c r="B28" s="94">
        <v>2023</v>
      </c>
      <c r="C28" s="99">
        <v>435.28</v>
      </c>
      <c r="D28" s="94" t="s">
        <v>24</v>
      </c>
      <c r="E28" s="99">
        <v>95.2</v>
      </c>
      <c r="F28" s="95">
        <v>-3.35</v>
      </c>
    </row>
    <row r="29" spans="1:6" ht="15" customHeight="1" x14ac:dyDescent="0.35">
      <c r="A29" s="96" t="s">
        <v>217</v>
      </c>
      <c r="B29" s="97">
        <v>2015</v>
      </c>
      <c r="C29" s="43">
        <v>616.51</v>
      </c>
      <c r="D29" s="97" t="s">
        <v>20</v>
      </c>
      <c r="E29" s="43">
        <v>100</v>
      </c>
      <c r="F29" s="42"/>
    </row>
    <row r="30" spans="1:6" ht="15" customHeight="1" x14ac:dyDescent="0.35">
      <c r="A30" s="93" t="s">
        <v>217</v>
      </c>
      <c r="B30" s="94">
        <v>2016</v>
      </c>
      <c r="C30" s="99">
        <v>595.67999999999995</v>
      </c>
      <c r="D30" s="94" t="s">
        <v>20</v>
      </c>
      <c r="E30" s="99">
        <v>96.6</v>
      </c>
      <c r="F30" s="95">
        <v>-3.38</v>
      </c>
    </row>
    <row r="31" spans="1:6" ht="15" customHeight="1" x14ac:dyDescent="0.35">
      <c r="A31" s="96" t="s">
        <v>217</v>
      </c>
      <c r="B31" s="97">
        <v>2017</v>
      </c>
      <c r="C31" s="43">
        <v>638.33000000000004</v>
      </c>
      <c r="D31" s="97" t="s">
        <v>20</v>
      </c>
      <c r="E31" s="43">
        <v>103.5</v>
      </c>
      <c r="F31" s="42">
        <v>7.16</v>
      </c>
    </row>
    <row r="32" spans="1:6" ht="15" customHeight="1" x14ac:dyDescent="0.35">
      <c r="A32" s="93" t="s">
        <v>217</v>
      </c>
      <c r="B32" s="94">
        <v>2018</v>
      </c>
      <c r="C32" s="99">
        <v>634.05999999999995</v>
      </c>
      <c r="D32" s="94" t="s">
        <v>20</v>
      </c>
      <c r="E32" s="99">
        <v>102.8</v>
      </c>
      <c r="F32" s="95">
        <v>-0.67</v>
      </c>
    </row>
    <row r="33" spans="1:6" ht="15" customHeight="1" x14ac:dyDescent="0.35">
      <c r="A33" s="96" t="s">
        <v>217</v>
      </c>
      <c r="B33" s="97">
        <v>2019</v>
      </c>
      <c r="C33" s="43">
        <v>618.17999999999995</v>
      </c>
      <c r="D33" s="97" t="s">
        <v>20</v>
      </c>
      <c r="E33" s="43">
        <v>100.3</v>
      </c>
      <c r="F33" s="42">
        <v>-2.5</v>
      </c>
    </row>
    <row r="34" spans="1:6" ht="15" customHeight="1" x14ac:dyDescent="0.35">
      <c r="A34" s="93" t="s">
        <v>217</v>
      </c>
      <c r="B34" s="94">
        <v>2020</v>
      </c>
      <c r="C34" s="99">
        <v>568.79</v>
      </c>
      <c r="D34" s="94" t="s">
        <v>20</v>
      </c>
      <c r="E34" s="99">
        <v>92.3</v>
      </c>
      <c r="F34" s="95">
        <v>-7.99</v>
      </c>
    </row>
    <row r="35" spans="1:6" ht="15" customHeight="1" x14ac:dyDescent="0.35">
      <c r="A35" s="96" t="s">
        <v>217</v>
      </c>
      <c r="B35" s="97">
        <v>2021</v>
      </c>
      <c r="C35" s="43">
        <v>569.41999999999996</v>
      </c>
      <c r="D35" s="97" t="s">
        <v>20</v>
      </c>
      <c r="E35" s="43">
        <v>92.4</v>
      </c>
      <c r="F35" s="42">
        <v>0.11</v>
      </c>
    </row>
    <row r="36" spans="1:6" ht="15" customHeight="1" x14ac:dyDescent="0.35">
      <c r="A36" s="93" t="s">
        <v>217</v>
      </c>
      <c r="B36" s="94">
        <v>2022</v>
      </c>
      <c r="C36" s="99">
        <v>565.82000000000005</v>
      </c>
      <c r="D36" s="94" t="s">
        <v>20</v>
      </c>
      <c r="E36" s="99">
        <v>91.8</v>
      </c>
      <c r="F36" s="95">
        <v>-0.63</v>
      </c>
    </row>
    <row r="37" spans="1:6" ht="15" customHeight="1" x14ac:dyDescent="0.35">
      <c r="A37" s="96" t="s">
        <v>217</v>
      </c>
      <c r="B37" s="97">
        <v>2023</v>
      </c>
      <c r="C37" s="43">
        <v>651.66</v>
      </c>
      <c r="D37" s="97" t="s">
        <v>20</v>
      </c>
      <c r="E37" s="43">
        <v>105.7</v>
      </c>
      <c r="F37" s="42">
        <v>15.17</v>
      </c>
    </row>
    <row r="38" spans="1:6" ht="15" customHeight="1" x14ac:dyDescent="0.35">
      <c r="A38" s="93" t="s">
        <v>74</v>
      </c>
      <c r="B38" s="94">
        <v>2015</v>
      </c>
      <c r="C38" s="99">
        <v>72.02</v>
      </c>
      <c r="D38" s="94" t="s">
        <v>22</v>
      </c>
      <c r="E38" s="99">
        <v>100</v>
      </c>
      <c r="F38" s="95"/>
    </row>
    <row r="39" spans="1:6" ht="15" customHeight="1" x14ac:dyDescent="0.35">
      <c r="A39" s="96" t="s">
        <v>74</v>
      </c>
      <c r="B39" s="97">
        <v>2016</v>
      </c>
      <c r="C39" s="43">
        <v>72.33</v>
      </c>
      <c r="D39" s="97" t="s">
        <v>22</v>
      </c>
      <c r="E39" s="43">
        <v>100.4</v>
      </c>
      <c r="F39" s="42">
        <v>0.43</v>
      </c>
    </row>
    <row r="40" spans="1:6" ht="15" customHeight="1" x14ac:dyDescent="0.35">
      <c r="A40" s="93" t="s">
        <v>74</v>
      </c>
      <c r="B40" s="94">
        <v>2017</v>
      </c>
      <c r="C40" s="99">
        <v>74.39</v>
      </c>
      <c r="D40" s="94" t="s">
        <v>22</v>
      </c>
      <c r="E40" s="99">
        <v>103.3</v>
      </c>
      <c r="F40" s="95">
        <v>2.85</v>
      </c>
    </row>
    <row r="41" spans="1:6" ht="15" customHeight="1" x14ac:dyDescent="0.35">
      <c r="A41" s="96" t="s">
        <v>74</v>
      </c>
      <c r="B41" s="97">
        <v>2018</v>
      </c>
      <c r="C41" s="43">
        <v>71.180000000000007</v>
      </c>
      <c r="D41" s="97" t="s">
        <v>22</v>
      </c>
      <c r="E41" s="43">
        <v>98.8</v>
      </c>
      <c r="F41" s="42">
        <v>-4.32</v>
      </c>
    </row>
    <row r="42" spans="1:6" ht="15" customHeight="1" x14ac:dyDescent="0.35">
      <c r="A42" s="93" t="s">
        <v>74</v>
      </c>
      <c r="B42" s="94">
        <v>2019</v>
      </c>
      <c r="C42" s="99">
        <v>72.25</v>
      </c>
      <c r="D42" s="94" t="s">
        <v>22</v>
      </c>
      <c r="E42" s="99">
        <v>100.3</v>
      </c>
      <c r="F42" s="95">
        <v>1.5</v>
      </c>
    </row>
    <row r="43" spans="1:6" ht="15" customHeight="1" x14ac:dyDescent="0.35">
      <c r="A43" s="96" t="s">
        <v>74</v>
      </c>
      <c r="B43" s="97">
        <v>2020</v>
      </c>
      <c r="C43" s="43">
        <v>66.790000000000006</v>
      </c>
      <c r="D43" s="97" t="s">
        <v>22</v>
      </c>
      <c r="E43" s="43">
        <v>92.7</v>
      </c>
      <c r="F43" s="42">
        <v>-7.56</v>
      </c>
    </row>
    <row r="44" spans="1:6" ht="15" customHeight="1" x14ac:dyDescent="0.35">
      <c r="A44" s="93" t="s">
        <v>74</v>
      </c>
      <c r="B44" s="94">
        <v>2021</v>
      </c>
      <c r="C44" s="99">
        <v>69.489999999999995</v>
      </c>
      <c r="D44" s="94" t="s">
        <v>22</v>
      </c>
      <c r="E44" s="99">
        <v>96.5</v>
      </c>
      <c r="F44" s="95">
        <v>4.04</v>
      </c>
    </row>
    <row r="45" spans="1:6" ht="15" customHeight="1" x14ac:dyDescent="0.35">
      <c r="A45" s="96" t="s">
        <v>74</v>
      </c>
      <c r="B45" s="97">
        <v>2022</v>
      </c>
      <c r="C45" s="43">
        <v>65.94</v>
      </c>
      <c r="D45" s="97" t="s">
        <v>22</v>
      </c>
      <c r="E45" s="43">
        <v>91.6</v>
      </c>
      <c r="F45" s="42">
        <v>-5.1100000000000003</v>
      </c>
    </row>
    <row r="46" spans="1:6" ht="15" customHeight="1" x14ac:dyDescent="0.35">
      <c r="A46" s="93" t="s">
        <v>74</v>
      </c>
      <c r="B46" s="94">
        <v>2023</v>
      </c>
      <c r="C46" s="99">
        <v>61.93</v>
      </c>
      <c r="D46" s="94" t="s">
        <v>22</v>
      </c>
      <c r="E46" s="99">
        <v>86</v>
      </c>
      <c r="F46" s="95">
        <v>-6.08</v>
      </c>
    </row>
    <row r="47" spans="1:6" ht="15" customHeight="1" x14ac:dyDescent="0.35">
      <c r="A47" s="96" t="s">
        <v>75</v>
      </c>
      <c r="B47" s="97">
        <v>2015</v>
      </c>
      <c r="C47" s="43">
        <v>678.95</v>
      </c>
      <c r="D47" s="97" t="s">
        <v>24</v>
      </c>
      <c r="E47" s="43">
        <v>100</v>
      </c>
      <c r="F47" s="42"/>
    </row>
    <row r="48" spans="1:6" ht="15" customHeight="1" x14ac:dyDescent="0.35">
      <c r="A48" s="93" t="s">
        <v>75</v>
      </c>
      <c r="B48" s="94">
        <v>2016</v>
      </c>
      <c r="C48" s="99">
        <v>722.32</v>
      </c>
      <c r="D48" s="94" t="s">
        <v>24</v>
      </c>
      <c r="E48" s="99">
        <v>106.4</v>
      </c>
      <c r="F48" s="95">
        <v>6.39</v>
      </c>
    </row>
    <row r="49" spans="1:6" ht="15" customHeight="1" x14ac:dyDescent="0.35">
      <c r="A49" s="96" t="s">
        <v>75</v>
      </c>
      <c r="B49" s="97">
        <v>2017</v>
      </c>
      <c r="C49" s="43">
        <v>720.16</v>
      </c>
      <c r="D49" s="97" t="s">
        <v>24</v>
      </c>
      <c r="E49" s="43">
        <v>106.1</v>
      </c>
      <c r="F49" s="42">
        <v>-0.3</v>
      </c>
    </row>
    <row r="50" spans="1:6" ht="15" customHeight="1" x14ac:dyDescent="0.35">
      <c r="A50" s="93" t="s">
        <v>75</v>
      </c>
      <c r="B50" s="94">
        <v>2018</v>
      </c>
      <c r="C50" s="99">
        <v>703.37</v>
      </c>
      <c r="D50" s="94" t="s">
        <v>24</v>
      </c>
      <c r="E50" s="99">
        <v>103.6</v>
      </c>
      <c r="F50" s="95">
        <v>-2.33</v>
      </c>
    </row>
    <row r="51" spans="1:6" ht="15" customHeight="1" x14ac:dyDescent="0.35">
      <c r="A51" s="96" t="s">
        <v>75</v>
      </c>
      <c r="B51" s="97">
        <v>2019</v>
      </c>
      <c r="C51" s="43">
        <v>717.6</v>
      </c>
      <c r="D51" s="97" t="s">
        <v>24</v>
      </c>
      <c r="E51" s="43">
        <v>105.7</v>
      </c>
      <c r="F51" s="42">
        <v>2.02</v>
      </c>
    </row>
    <row r="52" spans="1:6" ht="15" customHeight="1" x14ac:dyDescent="0.35">
      <c r="A52" s="93" t="s">
        <v>75</v>
      </c>
      <c r="B52" s="94">
        <v>2020</v>
      </c>
      <c r="C52" s="99">
        <v>664.85</v>
      </c>
      <c r="D52" s="94" t="s">
        <v>24</v>
      </c>
      <c r="E52" s="99">
        <v>97.9</v>
      </c>
      <c r="F52" s="95">
        <v>-7.35</v>
      </c>
    </row>
    <row r="53" spans="1:6" ht="15" customHeight="1" x14ac:dyDescent="0.35">
      <c r="A53" s="96" t="s">
        <v>75</v>
      </c>
      <c r="B53" s="97">
        <v>2021</v>
      </c>
      <c r="C53" s="43">
        <v>676.79</v>
      </c>
      <c r="D53" s="97" t="s">
        <v>24</v>
      </c>
      <c r="E53" s="43">
        <v>99.7</v>
      </c>
      <c r="F53" s="42">
        <v>1.8</v>
      </c>
    </row>
    <row r="54" spans="1:6" ht="15" customHeight="1" x14ac:dyDescent="0.35">
      <c r="A54" s="93" t="s">
        <v>75</v>
      </c>
      <c r="B54" s="94">
        <v>2022</v>
      </c>
      <c r="C54" s="99">
        <v>708.03</v>
      </c>
      <c r="D54" s="94" t="s">
        <v>24</v>
      </c>
      <c r="E54" s="99">
        <v>104.3</v>
      </c>
      <c r="F54" s="95">
        <v>4.62</v>
      </c>
    </row>
    <row r="55" spans="1:6" ht="15" customHeight="1" x14ac:dyDescent="0.35">
      <c r="A55" s="96" t="s">
        <v>75</v>
      </c>
      <c r="B55" s="97">
        <v>2023</v>
      </c>
      <c r="C55" s="43">
        <v>731.02</v>
      </c>
      <c r="D55" s="97" t="s">
        <v>24</v>
      </c>
      <c r="E55" s="43">
        <v>107.7</v>
      </c>
      <c r="F55" s="42">
        <v>3.25</v>
      </c>
    </row>
    <row r="56" spans="1:6" ht="15" customHeight="1" x14ac:dyDescent="0.35">
      <c r="A56" s="93" t="s">
        <v>76</v>
      </c>
      <c r="B56" s="94">
        <v>2015</v>
      </c>
      <c r="C56" s="99">
        <v>11103.35</v>
      </c>
      <c r="D56" s="94" t="s">
        <v>20</v>
      </c>
      <c r="E56" s="99">
        <v>100</v>
      </c>
      <c r="F56" s="95"/>
    </row>
    <row r="57" spans="1:6" ht="15" customHeight="1" x14ac:dyDescent="0.35">
      <c r="A57" s="96" t="s">
        <v>76</v>
      </c>
      <c r="B57" s="97">
        <v>2016</v>
      </c>
      <c r="C57" s="43">
        <v>10955.02</v>
      </c>
      <c r="D57" s="97" t="s">
        <v>20</v>
      </c>
      <c r="E57" s="43">
        <v>98.7</v>
      </c>
      <c r="F57" s="42">
        <v>-1.34</v>
      </c>
    </row>
    <row r="58" spans="1:6" ht="15" customHeight="1" x14ac:dyDescent="0.35">
      <c r="A58" s="93" t="s">
        <v>76</v>
      </c>
      <c r="B58" s="94">
        <v>2017</v>
      </c>
      <c r="C58" s="99">
        <v>11189.72</v>
      </c>
      <c r="D58" s="94" t="s">
        <v>20</v>
      </c>
      <c r="E58" s="99">
        <v>100.8</v>
      </c>
      <c r="F58" s="95">
        <v>2.14</v>
      </c>
    </row>
    <row r="59" spans="1:6" ht="15" customHeight="1" x14ac:dyDescent="0.35">
      <c r="A59" s="96" t="s">
        <v>76</v>
      </c>
      <c r="B59" s="97">
        <v>2018</v>
      </c>
      <c r="C59" s="43">
        <v>11662.12</v>
      </c>
      <c r="D59" s="97" t="s">
        <v>20</v>
      </c>
      <c r="E59" s="43">
        <v>105</v>
      </c>
      <c r="F59" s="42">
        <v>4.22</v>
      </c>
    </row>
    <row r="60" spans="1:6" ht="15" customHeight="1" x14ac:dyDescent="0.35">
      <c r="A60" s="93" t="s">
        <v>76</v>
      </c>
      <c r="B60" s="94">
        <v>2019</v>
      </c>
      <c r="C60" s="99">
        <v>11915.69</v>
      </c>
      <c r="D60" s="94" t="s">
        <v>20</v>
      </c>
      <c r="E60" s="99">
        <v>107.3</v>
      </c>
      <c r="F60" s="95">
        <v>2.17</v>
      </c>
    </row>
    <row r="61" spans="1:6" ht="15" customHeight="1" x14ac:dyDescent="0.35">
      <c r="A61" s="96" t="s">
        <v>76</v>
      </c>
      <c r="B61" s="97">
        <v>2020</v>
      </c>
      <c r="C61" s="43">
        <v>12084.55</v>
      </c>
      <c r="D61" s="97" t="s">
        <v>20</v>
      </c>
      <c r="E61" s="43">
        <v>108.8</v>
      </c>
      <c r="F61" s="42">
        <v>1.42</v>
      </c>
    </row>
    <row r="62" spans="1:6" ht="15" customHeight="1" x14ac:dyDescent="0.35">
      <c r="A62" s="93" t="s">
        <v>76</v>
      </c>
      <c r="B62" s="94">
        <v>2021</v>
      </c>
      <c r="C62" s="99">
        <v>12665.78</v>
      </c>
      <c r="D62" s="94" t="s">
        <v>20</v>
      </c>
      <c r="E62" s="99">
        <v>114.1</v>
      </c>
      <c r="F62" s="95">
        <v>4.8099999999999996</v>
      </c>
    </row>
    <row r="63" spans="1:6" ht="15" customHeight="1" x14ac:dyDescent="0.35">
      <c r="A63" s="96" t="s">
        <v>76</v>
      </c>
      <c r="B63" s="97">
        <v>2022</v>
      </c>
      <c r="C63" s="43">
        <v>12651.27</v>
      </c>
      <c r="D63" s="97" t="s">
        <v>20</v>
      </c>
      <c r="E63" s="43">
        <v>113.9</v>
      </c>
      <c r="F63" s="42">
        <v>-0.11</v>
      </c>
    </row>
    <row r="64" spans="1:6" ht="15" customHeight="1" x14ac:dyDescent="0.35">
      <c r="A64" s="93" t="s">
        <v>76</v>
      </c>
      <c r="B64" s="94">
        <v>2023</v>
      </c>
      <c r="C64" s="99">
        <v>13152.05</v>
      </c>
      <c r="D64" s="94" t="s">
        <v>20</v>
      </c>
      <c r="E64" s="99">
        <v>118.5</v>
      </c>
      <c r="F64" s="95">
        <v>3.96</v>
      </c>
    </row>
    <row r="65" spans="1:6" ht="15" customHeight="1" x14ac:dyDescent="0.35">
      <c r="A65" s="96" t="s">
        <v>77</v>
      </c>
      <c r="B65" s="97">
        <v>2015</v>
      </c>
      <c r="C65" s="43">
        <v>789.07</v>
      </c>
      <c r="D65" s="97" t="s">
        <v>26</v>
      </c>
      <c r="E65" s="43">
        <v>100</v>
      </c>
      <c r="F65" s="42"/>
    </row>
    <row r="66" spans="1:6" ht="15" customHeight="1" x14ac:dyDescent="0.35">
      <c r="A66" s="93" t="s">
        <v>77</v>
      </c>
      <c r="B66" s="94">
        <v>2016</v>
      </c>
      <c r="C66" s="99">
        <v>886.24</v>
      </c>
      <c r="D66" s="94" t="s">
        <v>26</v>
      </c>
      <c r="E66" s="99">
        <v>112.3</v>
      </c>
      <c r="F66" s="95">
        <v>12.31</v>
      </c>
    </row>
    <row r="67" spans="1:6" ht="15" customHeight="1" x14ac:dyDescent="0.35">
      <c r="A67" s="96" t="s">
        <v>77</v>
      </c>
      <c r="B67" s="97">
        <v>2017</v>
      </c>
      <c r="C67" s="43">
        <v>905.03</v>
      </c>
      <c r="D67" s="97" t="s">
        <v>26</v>
      </c>
      <c r="E67" s="43">
        <v>114.7</v>
      </c>
      <c r="F67" s="42">
        <v>2.12</v>
      </c>
    </row>
    <row r="68" spans="1:6" ht="15" customHeight="1" x14ac:dyDescent="0.35">
      <c r="A68" s="93" t="s">
        <v>77</v>
      </c>
      <c r="B68" s="94">
        <v>2018</v>
      </c>
      <c r="C68" s="99">
        <v>923.96</v>
      </c>
      <c r="D68" s="94" t="s">
        <v>26</v>
      </c>
      <c r="E68" s="99">
        <v>117.1</v>
      </c>
      <c r="F68" s="95">
        <v>2.09</v>
      </c>
    </row>
    <row r="69" spans="1:6" ht="15" customHeight="1" x14ac:dyDescent="0.35">
      <c r="A69" s="96" t="s">
        <v>77</v>
      </c>
      <c r="B69" s="97">
        <v>2019</v>
      </c>
      <c r="C69" s="43">
        <v>915.12</v>
      </c>
      <c r="D69" s="97" t="s">
        <v>26</v>
      </c>
      <c r="E69" s="43">
        <v>116</v>
      </c>
      <c r="F69" s="42">
        <v>-0.96</v>
      </c>
    </row>
    <row r="70" spans="1:6" ht="15" customHeight="1" x14ac:dyDescent="0.35">
      <c r="A70" s="93" t="s">
        <v>77</v>
      </c>
      <c r="B70" s="94">
        <v>2020</v>
      </c>
      <c r="C70" s="99">
        <v>853.61</v>
      </c>
      <c r="D70" s="94" t="s">
        <v>26</v>
      </c>
      <c r="E70" s="99">
        <v>108.2</v>
      </c>
      <c r="F70" s="95">
        <v>-6.72</v>
      </c>
    </row>
    <row r="71" spans="1:6" ht="15" customHeight="1" x14ac:dyDescent="0.35">
      <c r="A71" s="96" t="s">
        <v>77</v>
      </c>
      <c r="B71" s="97">
        <v>2021</v>
      </c>
      <c r="C71" s="43">
        <v>844.41</v>
      </c>
      <c r="D71" s="97" t="s">
        <v>26</v>
      </c>
      <c r="E71" s="43">
        <v>107</v>
      </c>
      <c r="F71" s="42">
        <v>-1.08</v>
      </c>
    </row>
    <row r="72" spans="1:6" ht="15" customHeight="1" x14ac:dyDescent="0.35">
      <c r="A72" s="93" t="s">
        <v>77</v>
      </c>
      <c r="B72" s="94">
        <v>2022</v>
      </c>
      <c r="C72" s="99">
        <v>857.27</v>
      </c>
      <c r="D72" s="94" t="s">
        <v>26</v>
      </c>
      <c r="E72" s="99">
        <v>108.6</v>
      </c>
      <c r="F72" s="95">
        <v>1.52</v>
      </c>
    </row>
    <row r="73" spans="1:6" ht="15" customHeight="1" x14ac:dyDescent="0.35">
      <c r="A73" s="96" t="s">
        <v>77</v>
      </c>
      <c r="B73" s="97">
        <v>2023</v>
      </c>
      <c r="C73" s="43">
        <v>875.95</v>
      </c>
      <c r="D73" s="97" t="s">
        <v>26</v>
      </c>
      <c r="E73" s="43">
        <v>111</v>
      </c>
      <c r="F73" s="42">
        <v>2.1800000000000002</v>
      </c>
    </row>
    <row r="74" spans="1:6" ht="15" customHeight="1" x14ac:dyDescent="0.35">
      <c r="A74" s="93" t="s">
        <v>78</v>
      </c>
      <c r="B74" s="94">
        <v>2015</v>
      </c>
      <c r="C74" s="99">
        <v>5468.96</v>
      </c>
      <c r="D74" s="94" t="s">
        <v>26</v>
      </c>
      <c r="E74" s="99">
        <v>100</v>
      </c>
      <c r="F74" s="95"/>
    </row>
    <row r="75" spans="1:6" ht="15" customHeight="1" x14ac:dyDescent="0.35">
      <c r="A75" s="96" t="s">
        <v>78</v>
      </c>
      <c r="B75" s="97">
        <v>2016</v>
      </c>
      <c r="C75" s="43">
        <v>5505.43</v>
      </c>
      <c r="D75" s="97" t="s">
        <v>26</v>
      </c>
      <c r="E75" s="43">
        <v>100.7</v>
      </c>
      <c r="F75" s="42">
        <v>0.67</v>
      </c>
    </row>
    <row r="76" spans="1:6" ht="15" customHeight="1" x14ac:dyDescent="0.35">
      <c r="A76" s="93" t="s">
        <v>78</v>
      </c>
      <c r="B76" s="94">
        <v>2017</v>
      </c>
      <c r="C76" s="99">
        <v>5459.13</v>
      </c>
      <c r="D76" s="94" t="s">
        <v>26</v>
      </c>
      <c r="E76" s="99">
        <v>99.8</v>
      </c>
      <c r="F76" s="95">
        <v>-0.84</v>
      </c>
    </row>
    <row r="77" spans="1:6" ht="15" customHeight="1" x14ac:dyDescent="0.35">
      <c r="A77" s="96" t="s">
        <v>78</v>
      </c>
      <c r="B77" s="97">
        <v>2018</v>
      </c>
      <c r="C77" s="43">
        <v>5693.3</v>
      </c>
      <c r="D77" s="97" t="s">
        <v>26</v>
      </c>
      <c r="E77" s="43">
        <v>104.1</v>
      </c>
      <c r="F77" s="42">
        <v>4.29</v>
      </c>
    </row>
    <row r="78" spans="1:6" ht="15" customHeight="1" x14ac:dyDescent="0.35">
      <c r="A78" s="93" t="s">
        <v>78</v>
      </c>
      <c r="B78" s="94">
        <v>2019</v>
      </c>
      <c r="C78" s="99">
        <v>5577.45</v>
      </c>
      <c r="D78" s="94" t="s">
        <v>26</v>
      </c>
      <c r="E78" s="99">
        <v>102</v>
      </c>
      <c r="F78" s="95">
        <v>-2.0299999999999998</v>
      </c>
    </row>
    <row r="79" spans="1:6" ht="15" customHeight="1" x14ac:dyDescent="0.35">
      <c r="A79" s="96" t="s">
        <v>78</v>
      </c>
      <c r="B79" s="97">
        <v>2020</v>
      </c>
      <c r="C79" s="43">
        <v>5022.8900000000003</v>
      </c>
      <c r="D79" s="97" t="s">
        <v>26</v>
      </c>
      <c r="E79" s="43">
        <v>91.8</v>
      </c>
      <c r="F79" s="42">
        <v>-9.94</v>
      </c>
    </row>
    <row r="80" spans="1:6" ht="15" customHeight="1" x14ac:dyDescent="0.35">
      <c r="A80" s="93" t="s">
        <v>78</v>
      </c>
      <c r="B80" s="94">
        <v>2021</v>
      </c>
      <c r="C80" s="99">
        <v>5563.7</v>
      </c>
      <c r="D80" s="94" t="s">
        <v>26</v>
      </c>
      <c r="E80" s="99">
        <v>101.7</v>
      </c>
      <c r="F80" s="95">
        <v>10.77</v>
      </c>
    </row>
    <row r="81" spans="1:6" ht="15" customHeight="1" x14ac:dyDescent="0.35">
      <c r="A81" s="96" t="s">
        <v>78</v>
      </c>
      <c r="B81" s="97">
        <v>2022</v>
      </c>
      <c r="C81" s="43">
        <v>5638.18</v>
      </c>
      <c r="D81" s="97" t="s">
        <v>26</v>
      </c>
      <c r="E81" s="43">
        <v>103.1</v>
      </c>
      <c r="F81" s="42">
        <v>1.34</v>
      </c>
    </row>
    <row r="82" spans="1:6" ht="15" customHeight="1" x14ac:dyDescent="0.35">
      <c r="A82" s="93" t="s">
        <v>78</v>
      </c>
      <c r="B82" s="94">
        <v>2023</v>
      </c>
      <c r="C82" s="99">
        <v>5434.18</v>
      </c>
      <c r="D82" s="94" t="s">
        <v>26</v>
      </c>
      <c r="E82" s="99">
        <v>99.4</v>
      </c>
      <c r="F82" s="95">
        <v>-3.62</v>
      </c>
    </row>
    <row r="83" spans="1:6" ht="15" customHeight="1" x14ac:dyDescent="0.35">
      <c r="A83" s="96" t="s">
        <v>79</v>
      </c>
      <c r="B83" s="97">
        <v>2015</v>
      </c>
      <c r="C83" s="43">
        <v>789.07</v>
      </c>
      <c r="D83" s="97" t="s">
        <v>26</v>
      </c>
      <c r="E83" s="43">
        <v>100</v>
      </c>
      <c r="F83" s="42"/>
    </row>
    <row r="84" spans="1:6" ht="15" customHeight="1" x14ac:dyDescent="0.35">
      <c r="A84" s="93" t="s">
        <v>79</v>
      </c>
      <c r="B84" s="94">
        <v>2016</v>
      </c>
      <c r="C84" s="99">
        <v>886.24</v>
      </c>
      <c r="D84" s="94" t="s">
        <v>26</v>
      </c>
      <c r="E84" s="99">
        <v>112.3</v>
      </c>
      <c r="F84" s="95">
        <v>12.31</v>
      </c>
    </row>
    <row r="85" spans="1:6" ht="15" customHeight="1" x14ac:dyDescent="0.35">
      <c r="A85" s="96" t="s">
        <v>79</v>
      </c>
      <c r="B85" s="97">
        <v>2017</v>
      </c>
      <c r="C85" s="43">
        <v>905.03</v>
      </c>
      <c r="D85" s="97" t="s">
        <v>26</v>
      </c>
      <c r="E85" s="43">
        <v>114.7</v>
      </c>
      <c r="F85" s="42">
        <v>2.12</v>
      </c>
    </row>
    <row r="86" spans="1:6" ht="15" customHeight="1" x14ac:dyDescent="0.35">
      <c r="A86" s="93" t="s">
        <v>79</v>
      </c>
      <c r="B86" s="94">
        <v>2018</v>
      </c>
      <c r="C86" s="99">
        <v>923.96</v>
      </c>
      <c r="D86" s="94" t="s">
        <v>26</v>
      </c>
      <c r="E86" s="99">
        <v>117.1</v>
      </c>
      <c r="F86" s="95">
        <v>2.09</v>
      </c>
    </row>
    <row r="87" spans="1:6" ht="15" customHeight="1" x14ac:dyDescent="0.35">
      <c r="A87" s="96" t="s">
        <v>79</v>
      </c>
      <c r="B87" s="97">
        <v>2019</v>
      </c>
      <c r="C87" s="43">
        <v>915.12</v>
      </c>
      <c r="D87" s="97" t="s">
        <v>26</v>
      </c>
      <c r="E87" s="43">
        <v>116</v>
      </c>
      <c r="F87" s="42">
        <v>-0.96</v>
      </c>
    </row>
    <row r="88" spans="1:6" ht="15" customHeight="1" x14ac:dyDescent="0.35">
      <c r="A88" s="93" t="s">
        <v>79</v>
      </c>
      <c r="B88" s="94">
        <v>2020</v>
      </c>
      <c r="C88" s="99">
        <v>853.61</v>
      </c>
      <c r="D88" s="94" t="s">
        <v>26</v>
      </c>
      <c r="E88" s="99">
        <v>108.2</v>
      </c>
      <c r="F88" s="95">
        <v>-6.72</v>
      </c>
    </row>
    <row r="89" spans="1:6" ht="15" customHeight="1" x14ac:dyDescent="0.35">
      <c r="A89" s="96" t="s">
        <v>79</v>
      </c>
      <c r="B89" s="97">
        <v>2021</v>
      </c>
      <c r="C89" s="43">
        <v>844.41</v>
      </c>
      <c r="D89" s="97" t="s">
        <v>26</v>
      </c>
      <c r="E89" s="43">
        <v>107</v>
      </c>
      <c r="F89" s="42">
        <v>-1.08</v>
      </c>
    </row>
    <row r="90" spans="1:6" ht="15" customHeight="1" x14ac:dyDescent="0.35">
      <c r="A90" s="93" t="s">
        <v>79</v>
      </c>
      <c r="B90" s="94">
        <v>2022</v>
      </c>
      <c r="C90" s="99">
        <v>857.27</v>
      </c>
      <c r="D90" s="94" t="s">
        <v>26</v>
      </c>
      <c r="E90" s="99">
        <v>108.6</v>
      </c>
      <c r="F90" s="95">
        <v>1.52</v>
      </c>
    </row>
    <row r="91" spans="1:6" ht="15" customHeight="1" x14ac:dyDescent="0.35">
      <c r="A91" s="96" t="s">
        <v>79</v>
      </c>
      <c r="B91" s="97">
        <v>2023</v>
      </c>
      <c r="C91" s="43">
        <v>875.95</v>
      </c>
      <c r="D91" s="97" t="s">
        <v>26</v>
      </c>
      <c r="E91" s="43">
        <v>111</v>
      </c>
      <c r="F91" s="42">
        <v>2.1800000000000002</v>
      </c>
    </row>
    <row r="92" spans="1:6" ht="15" customHeight="1" x14ac:dyDescent="0.35">
      <c r="A92" s="93" t="s">
        <v>80</v>
      </c>
      <c r="B92" s="94">
        <v>2015</v>
      </c>
      <c r="C92" s="99">
        <v>88.34</v>
      </c>
      <c r="D92" s="94" t="s">
        <v>24</v>
      </c>
      <c r="E92" s="99">
        <v>100</v>
      </c>
      <c r="F92" s="95"/>
    </row>
    <row r="93" spans="1:6" ht="15" customHeight="1" x14ac:dyDescent="0.35">
      <c r="A93" s="96" t="s">
        <v>80</v>
      </c>
      <c r="B93" s="97">
        <v>2016</v>
      </c>
      <c r="C93" s="43">
        <v>111.1</v>
      </c>
      <c r="D93" s="97" t="s">
        <v>24</v>
      </c>
      <c r="E93" s="43">
        <v>125.8</v>
      </c>
      <c r="F93" s="42">
        <v>25.76</v>
      </c>
    </row>
    <row r="94" spans="1:6" ht="15" customHeight="1" x14ac:dyDescent="0.35">
      <c r="A94" s="93" t="s">
        <v>80</v>
      </c>
      <c r="B94" s="94">
        <v>2017</v>
      </c>
      <c r="C94" s="99">
        <v>113.8</v>
      </c>
      <c r="D94" s="94" t="s">
        <v>24</v>
      </c>
      <c r="E94" s="99">
        <v>128.80000000000001</v>
      </c>
      <c r="F94" s="95">
        <v>2.4300000000000002</v>
      </c>
    </row>
    <row r="95" spans="1:6" ht="15" customHeight="1" x14ac:dyDescent="0.35">
      <c r="A95" s="96" t="s">
        <v>80</v>
      </c>
      <c r="B95" s="97">
        <v>2018</v>
      </c>
      <c r="C95" s="43">
        <v>112.77</v>
      </c>
      <c r="D95" s="97" t="s">
        <v>24</v>
      </c>
      <c r="E95" s="43">
        <v>127.7</v>
      </c>
      <c r="F95" s="42">
        <v>-0.91</v>
      </c>
    </row>
    <row r="96" spans="1:6" ht="15" customHeight="1" x14ac:dyDescent="0.35">
      <c r="A96" s="93" t="s">
        <v>80</v>
      </c>
      <c r="B96" s="94">
        <v>2019</v>
      </c>
      <c r="C96" s="99">
        <v>118.85</v>
      </c>
      <c r="D96" s="94" t="s">
        <v>24</v>
      </c>
      <c r="E96" s="99">
        <v>134.5</v>
      </c>
      <c r="F96" s="95">
        <v>5.39</v>
      </c>
    </row>
    <row r="97" spans="1:6" ht="15" customHeight="1" x14ac:dyDescent="0.35">
      <c r="A97" s="96" t="s">
        <v>80</v>
      </c>
      <c r="B97" s="97">
        <v>2020</v>
      </c>
      <c r="C97" s="43">
        <v>112.19</v>
      </c>
      <c r="D97" s="97" t="s">
        <v>24</v>
      </c>
      <c r="E97" s="43">
        <v>127</v>
      </c>
      <c r="F97" s="42">
        <v>-5.6</v>
      </c>
    </row>
    <row r="98" spans="1:6" ht="15" customHeight="1" x14ac:dyDescent="0.35">
      <c r="A98" s="93" t="s">
        <v>80</v>
      </c>
      <c r="B98" s="94">
        <v>2021</v>
      </c>
      <c r="C98" s="99">
        <v>111.84</v>
      </c>
      <c r="D98" s="94" t="s">
        <v>24</v>
      </c>
      <c r="E98" s="99">
        <v>126.6</v>
      </c>
      <c r="F98" s="95">
        <v>-0.31</v>
      </c>
    </row>
    <row r="99" spans="1:6" ht="15" customHeight="1" x14ac:dyDescent="0.35">
      <c r="A99" s="96" t="s">
        <v>80</v>
      </c>
      <c r="B99" s="97">
        <v>2022</v>
      </c>
      <c r="C99" s="43">
        <v>110.98</v>
      </c>
      <c r="D99" s="97" t="s">
        <v>24</v>
      </c>
      <c r="E99" s="43">
        <v>125.6</v>
      </c>
      <c r="F99" s="42">
        <v>-0.77</v>
      </c>
    </row>
    <row r="100" spans="1:6" ht="15" customHeight="1" x14ac:dyDescent="0.35">
      <c r="A100" s="93" t="s">
        <v>80</v>
      </c>
      <c r="B100" s="94">
        <v>2023</v>
      </c>
      <c r="C100" s="99">
        <v>102.71</v>
      </c>
      <c r="D100" s="94" t="s">
        <v>24</v>
      </c>
      <c r="E100" s="99">
        <v>116.3</v>
      </c>
      <c r="F100" s="95">
        <v>-7.45</v>
      </c>
    </row>
    <row r="101" spans="1:6" ht="15" customHeight="1" x14ac:dyDescent="0.35">
      <c r="A101" s="96" t="s">
        <v>81</v>
      </c>
      <c r="B101" s="97">
        <v>2015</v>
      </c>
      <c r="C101" s="43">
        <v>11103.35</v>
      </c>
      <c r="D101" s="97" t="s">
        <v>20</v>
      </c>
      <c r="E101" s="43">
        <v>100</v>
      </c>
      <c r="F101" s="42"/>
    </row>
    <row r="102" spans="1:6" ht="15" customHeight="1" x14ac:dyDescent="0.35">
      <c r="A102" s="93" t="s">
        <v>81</v>
      </c>
      <c r="B102" s="94">
        <v>2016</v>
      </c>
      <c r="C102" s="99">
        <v>10955.02</v>
      </c>
      <c r="D102" s="94" t="s">
        <v>20</v>
      </c>
      <c r="E102" s="99">
        <v>98.7</v>
      </c>
      <c r="F102" s="95">
        <v>-1.34</v>
      </c>
    </row>
    <row r="103" spans="1:6" ht="15" customHeight="1" x14ac:dyDescent="0.35">
      <c r="A103" s="96" t="s">
        <v>81</v>
      </c>
      <c r="B103" s="97">
        <v>2017</v>
      </c>
      <c r="C103" s="43">
        <v>11189.72</v>
      </c>
      <c r="D103" s="97" t="s">
        <v>20</v>
      </c>
      <c r="E103" s="43">
        <v>100.8</v>
      </c>
      <c r="F103" s="42">
        <v>2.14</v>
      </c>
    </row>
    <row r="104" spans="1:6" ht="15" customHeight="1" x14ac:dyDescent="0.35">
      <c r="A104" s="93" t="s">
        <v>81</v>
      </c>
      <c r="B104" s="94">
        <v>2018</v>
      </c>
      <c r="C104" s="99">
        <v>11662.12</v>
      </c>
      <c r="D104" s="94" t="s">
        <v>20</v>
      </c>
      <c r="E104" s="99">
        <v>105</v>
      </c>
      <c r="F104" s="95">
        <v>4.22</v>
      </c>
    </row>
    <row r="105" spans="1:6" ht="15" customHeight="1" x14ac:dyDescent="0.35">
      <c r="A105" s="96" t="s">
        <v>81</v>
      </c>
      <c r="B105" s="97">
        <v>2019</v>
      </c>
      <c r="C105" s="43">
        <v>11915.69</v>
      </c>
      <c r="D105" s="97" t="s">
        <v>20</v>
      </c>
      <c r="E105" s="43">
        <v>107.3</v>
      </c>
      <c r="F105" s="42">
        <v>2.17</v>
      </c>
    </row>
    <row r="106" spans="1:6" ht="15" customHeight="1" x14ac:dyDescent="0.35">
      <c r="A106" s="93" t="s">
        <v>81</v>
      </c>
      <c r="B106" s="94">
        <v>2020</v>
      </c>
      <c r="C106" s="99">
        <v>12084.55</v>
      </c>
      <c r="D106" s="94" t="s">
        <v>20</v>
      </c>
      <c r="E106" s="99">
        <v>108.8</v>
      </c>
      <c r="F106" s="95">
        <v>1.42</v>
      </c>
    </row>
    <row r="107" spans="1:6" ht="15" customHeight="1" x14ac:dyDescent="0.35">
      <c r="A107" s="96" t="s">
        <v>81</v>
      </c>
      <c r="B107" s="97">
        <v>2021</v>
      </c>
      <c r="C107" s="43">
        <v>12665.78</v>
      </c>
      <c r="D107" s="97" t="s">
        <v>20</v>
      </c>
      <c r="E107" s="43">
        <v>114.1</v>
      </c>
      <c r="F107" s="42">
        <v>4.8099999999999996</v>
      </c>
    </row>
    <row r="108" spans="1:6" ht="15" customHeight="1" x14ac:dyDescent="0.35">
      <c r="A108" s="93" t="s">
        <v>81</v>
      </c>
      <c r="B108" s="94">
        <v>2022</v>
      </c>
      <c r="C108" s="99">
        <v>12651.27</v>
      </c>
      <c r="D108" s="94" t="s">
        <v>20</v>
      </c>
      <c r="E108" s="99">
        <v>113.9</v>
      </c>
      <c r="F108" s="95">
        <v>-0.11</v>
      </c>
    </row>
    <row r="109" spans="1:6" ht="15" customHeight="1" x14ac:dyDescent="0.35">
      <c r="A109" s="96" t="s">
        <v>81</v>
      </c>
      <c r="B109" s="97">
        <v>2023</v>
      </c>
      <c r="C109" s="43">
        <v>13152.05</v>
      </c>
      <c r="D109" s="97" t="s">
        <v>20</v>
      </c>
      <c r="E109" s="43">
        <v>118.5</v>
      </c>
      <c r="F109" s="42">
        <v>3.96</v>
      </c>
    </row>
    <row r="110" spans="1:6" ht="15" customHeight="1" x14ac:dyDescent="0.35">
      <c r="A110" s="93" t="s">
        <v>82</v>
      </c>
      <c r="B110" s="94">
        <v>2015</v>
      </c>
      <c r="C110" s="99">
        <v>11103.35</v>
      </c>
      <c r="D110" s="94" t="s">
        <v>20</v>
      </c>
      <c r="E110" s="99">
        <v>100</v>
      </c>
      <c r="F110" s="95"/>
    </row>
    <row r="111" spans="1:6" ht="15" customHeight="1" x14ac:dyDescent="0.35">
      <c r="A111" s="96" t="s">
        <v>82</v>
      </c>
      <c r="B111" s="97">
        <v>2016</v>
      </c>
      <c r="C111" s="43">
        <v>10955.02</v>
      </c>
      <c r="D111" s="97" t="s">
        <v>20</v>
      </c>
      <c r="E111" s="43">
        <v>98.7</v>
      </c>
      <c r="F111" s="42">
        <v>-1.34</v>
      </c>
    </row>
    <row r="112" spans="1:6" ht="15" customHeight="1" x14ac:dyDescent="0.35">
      <c r="A112" s="93" t="s">
        <v>82</v>
      </c>
      <c r="B112" s="94">
        <v>2017</v>
      </c>
      <c r="C112" s="99">
        <v>11189.72</v>
      </c>
      <c r="D112" s="94" t="s">
        <v>20</v>
      </c>
      <c r="E112" s="99">
        <v>100.8</v>
      </c>
      <c r="F112" s="95">
        <v>2.14</v>
      </c>
    </row>
    <row r="113" spans="1:6" ht="15" customHeight="1" x14ac:dyDescent="0.35">
      <c r="A113" s="96" t="s">
        <v>82</v>
      </c>
      <c r="B113" s="97">
        <v>2018</v>
      </c>
      <c r="C113" s="43">
        <v>11662.12</v>
      </c>
      <c r="D113" s="97" t="s">
        <v>20</v>
      </c>
      <c r="E113" s="43">
        <v>105</v>
      </c>
      <c r="F113" s="42">
        <v>4.22</v>
      </c>
    </row>
    <row r="114" spans="1:6" ht="15" customHeight="1" x14ac:dyDescent="0.35">
      <c r="A114" s="93" t="s">
        <v>82</v>
      </c>
      <c r="B114" s="94">
        <v>2019</v>
      </c>
      <c r="C114" s="99">
        <v>11915.69</v>
      </c>
      <c r="D114" s="94" t="s">
        <v>20</v>
      </c>
      <c r="E114" s="99">
        <v>107.3</v>
      </c>
      <c r="F114" s="95">
        <v>2.17</v>
      </c>
    </row>
    <row r="115" spans="1:6" ht="15" customHeight="1" x14ac:dyDescent="0.35">
      <c r="A115" s="96" t="s">
        <v>82</v>
      </c>
      <c r="B115" s="97">
        <v>2020</v>
      </c>
      <c r="C115" s="43">
        <v>12084.55</v>
      </c>
      <c r="D115" s="97" t="s">
        <v>20</v>
      </c>
      <c r="E115" s="43">
        <v>108.8</v>
      </c>
      <c r="F115" s="42">
        <v>1.42</v>
      </c>
    </row>
    <row r="116" spans="1:6" ht="15" customHeight="1" x14ac:dyDescent="0.35">
      <c r="A116" s="93" t="s">
        <v>82</v>
      </c>
      <c r="B116" s="94">
        <v>2021</v>
      </c>
      <c r="C116" s="99">
        <v>12665.78</v>
      </c>
      <c r="D116" s="94" t="s">
        <v>20</v>
      </c>
      <c r="E116" s="99">
        <v>114.1</v>
      </c>
      <c r="F116" s="95">
        <v>4.8099999999999996</v>
      </c>
    </row>
    <row r="117" spans="1:6" ht="15" customHeight="1" x14ac:dyDescent="0.35">
      <c r="A117" s="96" t="s">
        <v>82</v>
      </c>
      <c r="B117" s="97">
        <v>2022</v>
      </c>
      <c r="C117" s="43">
        <v>12651.27</v>
      </c>
      <c r="D117" s="97" t="s">
        <v>20</v>
      </c>
      <c r="E117" s="43">
        <v>113.9</v>
      </c>
      <c r="F117" s="42">
        <v>-0.11</v>
      </c>
    </row>
    <row r="118" spans="1:6" ht="15" customHeight="1" x14ac:dyDescent="0.35">
      <c r="A118" s="93" t="s">
        <v>82</v>
      </c>
      <c r="B118" s="94">
        <v>2023</v>
      </c>
      <c r="C118" s="99">
        <v>13152.05</v>
      </c>
      <c r="D118" s="94" t="s">
        <v>20</v>
      </c>
      <c r="E118" s="99">
        <v>118.5</v>
      </c>
      <c r="F118" s="95">
        <v>3.96</v>
      </c>
    </row>
    <row r="119" spans="1:6" ht="15" customHeight="1" x14ac:dyDescent="0.35">
      <c r="A119" s="96" t="s">
        <v>83</v>
      </c>
      <c r="B119" s="97">
        <v>2015</v>
      </c>
      <c r="C119" s="43">
        <v>251.67</v>
      </c>
      <c r="D119" s="97" t="s">
        <v>24</v>
      </c>
      <c r="E119" s="43">
        <v>100</v>
      </c>
      <c r="F119" s="42"/>
    </row>
    <row r="120" spans="1:6" ht="15" customHeight="1" x14ac:dyDescent="0.35">
      <c r="A120" s="93" t="s">
        <v>83</v>
      </c>
      <c r="B120" s="94">
        <v>2016</v>
      </c>
      <c r="C120" s="99">
        <v>288.14999999999998</v>
      </c>
      <c r="D120" s="94" t="s">
        <v>24</v>
      </c>
      <c r="E120" s="99">
        <v>114.5</v>
      </c>
      <c r="F120" s="95">
        <v>14.5</v>
      </c>
    </row>
    <row r="121" spans="1:6" ht="15" customHeight="1" x14ac:dyDescent="0.35">
      <c r="A121" s="96" t="s">
        <v>83</v>
      </c>
      <c r="B121" s="97">
        <v>2017</v>
      </c>
      <c r="C121" s="43">
        <v>285.26</v>
      </c>
      <c r="D121" s="97" t="s">
        <v>24</v>
      </c>
      <c r="E121" s="43">
        <v>113.3</v>
      </c>
      <c r="F121" s="42">
        <v>-1</v>
      </c>
    </row>
    <row r="122" spans="1:6" ht="15" customHeight="1" x14ac:dyDescent="0.35">
      <c r="A122" s="93" t="s">
        <v>83</v>
      </c>
      <c r="B122" s="94">
        <v>2018</v>
      </c>
      <c r="C122" s="99">
        <v>293.89</v>
      </c>
      <c r="D122" s="94" t="s">
        <v>24</v>
      </c>
      <c r="E122" s="99">
        <v>116.8</v>
      </c>
      <c r="F122" s="95">
        <v>3.03</v>
      </c>
    </row>
    <row r="123" spans="1:6" ht="15" customHeight="1" x14ac:dyDescent="0.35">
      <c r="A123" s="96" t="s">
        <v>83</v>
      </c>
      <c r="B123" s="97">
        <v>2019</v>
      </c>
      <c r="C123" s="43">
        <v>296.25</v>
      </c>
      <c r="D123" s="97" t="s">
        <v>24</v>
      </c>
      <c r="E123" s="43">
        <v>117.7</v>
      </c>
      <c r="F123" s="42">
        <v>0.8</v>
      </c>
    </row>
    <row r="124" spans="1:6" ht="15" customHeight="1" x14ac:dyDescent="0.35">
      <c r="A124" s="93" t="s">
        <v>83</v>
      </c>
      <c r="B124" s="94">
        <v>2020</v>
      </c>
      <c r="C124" s="99">
        <v>288.5</v>
      </c>
      <c r="D124" s="94" t="s">
        <v>24</v>
      </c>
      <c r="E124" s="99">
        <v>114.6</v>
      </c>
      <c r="F124" s="95">
        <v>-2.62</v>
      </c>
    </row>
    <row r="125" spans="1:6" ht="15" customHeight="1" x14ac:dyDescent="0.35">
      <c r="A125" s="96" t="s">
        <v>83</v>
      </c>
      <c r="B125" s="97">
        <v>2021</v>
      </c>
      <c r="C125" s="43">
        <v>284.58999999999997</v>
      </c>
      <c r="D125" s="97" t="s">
        <v>24</v>
      </c>
      <c r="E125" s="43">
        <v>113.1</v>
      </c>
      <c r="F125" s="42">
        <v>-1.36</v>
      </c>
    </row>
    <row r="126" spans="1:6" ht="15" customHeight="1" x14ac:dyDescent="0.35">
      <c r="A126" s="93" t="s">
        <v>83</v>
      </c>
      <c r="B126" s="94">
        <v>2022</v>
      </c>
      <c r="C126" s="99">
        <v>289.18</v>
      </c>
      <c r="D126" s="94" t="s">
        <v>24</v>
      </c>
      <c r="E126" s="99">
        <v>114.9</v>
      </c>
      <c r="F126" s="95">
        <v>1.61</v>
      </c>
    </row>
    <row r="127" spans="1:6" ht="15" customHeight="1" x14ac:dyDescent="0.35">
      <c r="A127" s="96" t="s">
        <v>83</v>
      </c>
      <c r="B127" s="97">
        <v>2023</v>
      </c>
      <c r="C127" s="43">
        <v>294.08</v>
      </c>
      <c r="D127" s="97" t="s">
        <v>24</v>
      </c>
      <c r="E127" s="43">
        <v>116.9</v>
      </c>
      <c r="F127" s="42">
        <v>1.69</v>
      </c>
    </row>
    <row r="128" spans="1:6" ht="15" customHeight="1" x14ac:dyDescent="0.35">
      <c r="A128" s="93" t="s">
        <v>84</v>
      </c>
      <c r="B128" s="94">
        <v>2015</v>
      </c>
      <c r="C128" s="99">
        <v>47.1</v>
      </c>
      <c r="D128" s="94" t="s">
        <v>22</v>
      </c>
      <c r="E128" s="99">
        <v>100</v>
      </c>
      <c r="F128" s="95"/>
    </row>
    <row r="129" spans="1:6" ht="15" customHeight="1" x14ac:dyDescent="0.35">
      <c r="A129" s="96" t="s">
        <v>84</v>
      </c>
      <c r="B129" s="97">
        <v>2016</v>
      </c>
      <c r="C129" s="43">
        <v>51.43</v>
      </c>
      <c r="D129" s="97" t="s">
        <v>22</v>
      </c>
      <c r="E129" s="43">
        <v>109.2</v>
      </c>
      <c r="F129" s="42">
        <v>9.19</v>
      </c>
    </row>
    <row r="130" spans="1:6" ht="15" customHeight="1" x14ac:dyDescent="0.35">
      <c r="A130" s="93" t="s">
        <v>84</v>
      </c>
      <c r="B130" s="94">
        <v>2017</v>
      </c>
      <c r="C130" s="99">
        <v>49.09</v>
      </c>
      <c r="D130" s="94" t="s">
        <v>22</v>
      </c>
      <c r="E130" s="99">
        <v>104.2</v>
      </c>
      <c r="F130" s="95">
        <v>-4.55</v>
      </c>
    </row>
    <row r="131" spans="1:6" ht="15" customHeight="1" x14ac:dyDescent="0.35">
      <c r="A131" s="96" t="s">
        <v>84</v>
      </c>
      <c r="B131" s="97">
        <v>2018</v>
      </c>
      <c r="C131" s="43">
        <v>48.81</v>
      </c>
      <c r="D131" s="97" t="s">
        <v>22</v>
      </c>
      <c r="E131" s="43">
        <v>103.6</v>
      </c>
      <c r="F131" s="42">
        <v>-0.56999999999999995</v>
      </c>
    </row>
    <row r="132" spans="1:6" ht="15" customHeight="1" x14ac:dyDescent="0.35">
      <c r="A132" s="93" t="s">
        <v>84</v>
      </c>
      <c r="B132" s="94">
        <v>2019</v>
      </c>
      <c r="C132" s="99">
        <v>45.11</v>
      </c>
      <c r="D132" s="94" t="s">
        <v>22</v>
      </c>
      <c r="E132" s="99">
        <v>95.8</v>
      </c>
      <c r="F132" s="95">
        <v>-7.58</v>
      </c>
    </row>
    <row r="133" spans="1:6" ht="15" customHeight="1" x14ac:dyDescent="0.35">
      <c r="A133" s="96" t="s">
        <v>84</v>
      </c>
      <c r="B133" s="97">
        <v>2020</v>
      </c>
      <c r="C133" s="43">
        <v>42.86</v>
      </c>
      <c r="D133" s="97" t="s">
        <v>22</v>
      </c>
      <c r="E133" s="43">
        <v>91</v>
      </c>
      <c r="F133" s="42">
        <v>-4.99</v>
      </c>
    </row>
    <row r="134" spans="1:6" ht="15" customHeight="1" x14ac:dyDescent="0.35">
      <c r="A134" s="93" t="s">
        <v>84</v>
      </c>
      <c r="B134" s="94">
        <v>2021</v>
      </c>
      <c r="C134" s="99">
        <v>42.36</v>
      </c>
      <c r="D134" s="94" t="s">
        <v>22</v>
      </c>
      <c r="E134" s="99">
        <v>89.9</v>
      </c>
      <c r="F134" s="95">
        <v>-1.17</v>
      </c>
    </row>
    <row r="135" spans="1:6" ht="15" customHeight="1" x14ac:dyDescent="0.35">
      <c r="A135" s="96" t="s">
        <v>84</v>
      </c>
      <c r="B135" s="97">
        <v>2022</v>
      </c>
      <c r="C135" s="43">
        <v>40.64</v>
      </c>
      <c r="D135" s="97" t="s">
        <v>22</v>
      </c>
      <c r="E135" s="43">
        <v>86.3</v>
      </c>
      <c r="F135" s="42">
        <v>-4.0599999999999996</v>
      </c>
    </row>
    <row r="136" spans="1:6" ht="15" customHeight="1" x14ac:dyDescent="0.35">
      <c r="A136" s="93" t="s">
        <v>84</v>
      </c>
      <c r="B136" s="94">
        <v>2023</v>
      </c>
      <c r="C136" s="99">
        <v>38.04</v>
      </c>
      <c r="D136" s="94" t="s">
        <v>22</v>
      </c>
      <c r="E136" s="99">
        <v>80.8</v>
      </c>
      <c r="F136" s="95">
        <v>-6.4</v>
      </c>
    </row>
    <row r="137" spans="1:6" ht="15" customHeight="1" x14ac:dyDescent="0.35">
      <c r="A137" s="96" t="s">
        <v>218</v>
      </c>
      <c r="B137" s="97">
        <v>2015</v>
      </c>
      <c r="C137" s="43">
        <v>678.95</v>
      </c>
      <c r="D137" s="97" t="s">
        <v>24</v>
      </c>
      <c r="E137" s="43">
        <v>100</v>
      </c>
      <c r="F137" s="42"/>
    </row>
    <row r="138" spans="1:6" ht="15" customHeight="1" x14ac:dyDescent="0.35">
      <c r="A138" s="93" t="s">
        <v>218</v>
      </c>
      <c r="B138" s="94">
        <v>2016</v>
      </c>
      <c r="C138" s="99">
        <v>722.32</v>
      </c>
      <c r="D138" s="94" t="s">
        <v>24</v>
      </c>
      <c r="E138" s="99">
        <v>106.4</v>
      </c>
      <c r="F138" s="95">
        <v>6.39</v>
      </c>
    </row>
    <row r="139" spans="1:6" ht="15" customHeight="1" x14ac:dyDescent="0.35">
      <c r="A139" s="96" t="s">
        <v>218</v>
      </c>
      <c r="B139" s="97">
        <v>2017</v>
      </c>
      <c r="C139" s="43">
        <v>720.16</v>
      </c>
      <c r="D139" s="97" t="s">
        <v>24</v>
      </c>
      <c r="E139" s="43">
        <v>106.1</v>
      </c>
      <c r="F139" s="42">
        <v>-0.3</v>
      </c>
    </row>
    <row r="140" spans="1:6" ht="15" customHeight="1" x14ac:dyDescent="0.35">
      <c r="A140" s="93" t="s">
        <v>218</v>
      </c>
      <c r="B140" s="94">
        <v>2018</v>
      </c>
      <c r="C140" s="99">
        <v>703.37</v>
      </c>
      <c r="D140" s="94" t="s">
        <v>24</v>
      </c>
      <c r="E140" s="99">
        <v>103.6</v>
      </c>
      <c r="F140" s="95">
        <v>-2.33</v>
      </c>
    </row>
    <row r="141" spans="1:6" ht="15" customHeight="1" x14ac:dyDescent="0.35">
      <c r="A141" s="96" t="s">
        <v>218</v>
      </c>
      <c r="B141" s="97">
        <v>2019</v>
      </c>
      <c r="C141" s="43">
        <v>717.6</v>
      </c>
      <c r="D141" s="97" t="s">
        <v>24</v>
      </c>
      <c r="E141" s="43">
        <v>105.7</v>
      </c>
      <c r="F141" s="42">
        <v>2.02</v>
      </c>
    </row>
    <row r="142" spans="1:6" ht="15" customHeight="1" x14ac:dyDescent="0.35">
      <c r="A142" s="93" t="s">
        <v>218</v>
      </c>
      <c r="B142" s="94">
        <v>2020</v>
      </c>
      <c r="C142" s="99">
        <v>664.85</v>
      </c>
      <c r="D142" s="94" t="s">
        <v>24</v>
      </c>
      <c r="E142" s="99">
        <v>97.9</v>
      </c>
      <c r="F142" s="95">
        <v>-7.35</v>
      </c>
    </row>
    <row r="143" spans="1:6" ht="15" customHeight="1" x14ac:dyDescent="0.35">
      <c r="A143" s="96" t="s">
        <v>218</v>
      </c>
      <c r="B143" s="97">
        <v>2021</v>
      </c>
      <c r="C143" s="43">
        <v>676.79</v>
      </c>
      <c r="D143" s="97" t="s">
        <v>24</v>
      </c>
      <c r="E143" s="43">
        <v>99.7</v>
      </c>
      <c r="F143" s="42">
        <v>1.8</v>
      </c>
    </row>
    <row r="144" spans="1:6" ht="15" customHeight="1" x14ac:dyDescent="0.35">
      <c r="A144" s="93" t="s">
        <v>218</v>
      </c>
      <c r="B144" s="94">
        <v>2022</v>
      </c>
      <c r="C144" s="99">
        <v>708.03</v>
      </c>
      <c r="D144" s="94" t="s">
        <v>24</v>
      </c>
      <c r="E144" s="99">
        <v>104.3</v>
      </c>
      <c r="F144" s="95">
        <v>4.62</v>
      </c>
    </row>
    <row r="145" spans="1:6" ht="15" customHeight="1" x14ac:dyDescent="0.35">
      <c r="A145" s="96" t="s">
        <v>218</v>
      </c>
      <c r="B145" s="97">
        <v>2023</v>
      </c>
      <c r="C145" s="43">
        <v>731.02</v>
      </c>
      <c r="D145" s="97" t="s">
        <v>24</v>
      </c>
      <c r="E145" s="43">
        <v>107.7</v>
      </c>
      <c r="F145" s="42">
        <v>3.25</v>
      </c>
    </row>
    <row r="146" spans="1:6" ht="15" customHeight="1" x14ac:dyDescent="0.35">
      <c r="A146" s="93" t="s">
        <v>85</v>
      </c>
      <c r="B146" s="94">
        <v>2015</v>
      </c>
      <c r="C146" s="99">
        <v>3242.91</v>
      </c>
      <c r="D146" s="94" t="s">
        <v>22</v>
      </c>
      <c r="E146" s="99">
        <v>100</v>
      </c>
      <c r="F146" s="95"/>
    </row>
    <row r="147" spans="1:6" ht="15" customHeight="1" x14ac:dyDescent="0.35">
      <c r="A147" s="96" t="s">
        <v>85</v>
      </c>
      <c r="B147" s="97">
        <v>2016</v>
      </c>
      <c r="C147" s="43">
        <v>3427.84</v>
      </c>
      <c r="D147" s="97" t="s">
        <v>22</v>
      </c>
      <c r="E147" s="43">
        <v>105.7</v>
      </c>
      <c r="F147" s="42">
        <v>5.7</v>
      </c>
    </row>
    <row r="148" spans="1:6" ht="15" customHeight="1" x14ac:dyDescent="0.35">
      <c r="A148" s="93" t="s">
        <v>85</v>
      </c>
      <c r="B148" s="94">
        <v>2017</v>
      </c>
      <c r="C148" s="99">
        <v>3447.15</v>
      </c>
      <c r="D148" s="94" t="s">
        <v>22</v>
      </c>
      <c r="E148" s="99">
        <v>106.3</v>
      </c>
      <c r="F148" s="95">
        <v>0.56000000000000005</v>
      </c>
    </row>
    <row r="149" spans="1:6" ht="15" customHeight="1" x14ac:dyDescent="0.35">
      <c r="A149" s="96" t="s">
        <v>85</v>
      </c>
      <c r="B149" s="97">
        <v>2018</v>
      </c>
      <c r="C149" s="43">
        <v>3362.93</v>
      </c>
      <c r="D149" s="97" t="s">
        <v>22</v>
      </c>
      <c r="E149" s="43">
        <v>103.7</v>
      </c>
      <c r="F149" s="42">
        <v>-2.44</v>
      </c>
    </row>
    <row r="150" spans="1:6" ht="15" customHeight="1" x14ac:dyDescent="0.35">
      <c r="A150" s="93" t="s">
        <v>85</v>
      </c>
      <c r="B150" s="94">
        <v>2019</v>
      </c>
      <c r="C150" s="99">
        <v>3220.53</v>
      </c>
      <c r="D150" s="94" t="s">
        <v>22</v>
      </c>
      <c r="E150" s="99">
        <v>99.3</v>
      </c>
      <c r="F150" s="95">
        <v>-4.2300000000000004</v>
      </c>
    </row>
    <row r="151" spans="1:6" ht="15" customHeight="1" x14ac:dyDescent="0.35">
      <c r="A151" s="96" t="s">
        <v>85</v>
      </c>
      <c r="B151" s="97">
        <v>2020</v>
      </c>
      <c r="C151" s="43">
        <v>2955.73</v>
      </c>
      <c r="D151" s="97" t="s">
        <v>22</v>
      </c>
      <c r="E151" s="43">
        <v>91.1</v>
      </c>
      <c r="F151" s="42">
        <v>-8.2200000000000006</v>
      </c>
    </row>
    <row r="152" spans="1:6" ht="15" customHeight="1" x14ac:dyDescent="0.35">
      <c r="A152" s="93" t="s">
        <v>85</v>
      </c>
      <c r="B152" s="94">
        <v>2021</v>
      </c>
      <c r="C152" s="99">
        <v>3317.97</v>
      </c>
      <c r="D152" s="94" t="s">
        <v>22</v>
      </c>
      <c r="E152" s="99">
        <v>102.3</v>
      </c>
      <c r="F152" s="95">
        <v>12.26</v>
      </c>
    </row>
    <row r="153" spans="1:6" ht="15" customHeight="1" x14ac:dyDescent="0.35">
      <c r="A153" s="96" t="s">
        <v>85</v>
      </c>
      <c r="B153" s="97">
        <v>2022</v>
      </c>
      <c r="C153" s="43">
        <v>3247.8</v>
      </c>
      <c r="D153" s="97" t="s">
        <v>22</v>
      </c>
      <c r="E153" s="43">
        <v>100.2</v>
      </c>
      <c r="F153" s="42">
        <v>-2.11</v>
      </c>
    </row>
    <row r="154" spans="1:6" ht="15" customHeight="1" x14ac:dyDescent="0.35">
      <c r="A154" s="93" t="s">
        <v>85</v>
      </c>
      <c r="B154" s="94">
        <v>2023</v>
      </c>
      <c r="C154" s="99">
        <v>3027.98</v>
      </c>
      <c r="D154" s="94" t="s">
        <v>22</v>
      </c>
      <c r="E154" s="99">
        <v>93.4</v>
      </c>
      <c r="F154" s="95">
        <v>-6.77</v>
      </c>
    </row>
    <row r="155" spans="1:6" ht="15" customHeight="1" x14ac:dyDescent="0.35">
      <c r="A155" s="96" t="s">
        <v>86</v>
      </c>
      <c r="B155" s="97">
        <v>2015</v>
      </c>
      <c r="C155" s="43">
        <v>14.27</v>
      </c>
      <c r="D155" s="97" t="s">
        <v>22</v>
      </c>
      <c r="E155" s="43">
        <v>100</v>
      </c>
      <c r="F155" s="42"/>
    </row>
    <row r="156" spans="1:6" ht="15" customHeight="1" x14ac:dyDescent="0.35">
      <c r="A156" s="93" t="s">
        <v>86</v>
      </c>
      <c r="B156" s="94">
        <v>2016</v>
      </c>
      <c r="C156" s="99">
        <v>27.88</v>
      </c>
      <c r="D156" s="94" t="s">
        <v>22</v>
      </c>
      <c r="E156" s="99">
        <v>195.4</v>
      </c>
      <c r="F156" s="95">
        <v>95.37</v>
      </c>
    </row>
    <row r="157" spans="1:6" ht="15" customHeight="1" x14ac:dyDescent="0.35">
      <c r="A157" s="96" t="s">
        <v>86</v>
      </c>
      <c r="B157" s="97">
        <v>2017</v>
      </c>
      <c r="C157" s="43">
        <v>28.81</v>
      </c>
      <c r="D157" s="97" t="s">
        <v>22</v>
      </c>
      <c r="E157" s="43">
        <v>201.9</v>
      </c>
      <c r="F157" s="42">
        <v>3.34</v>
      </c>
    </row>
    <row r="158" spans="1:6" ht="15" customHeight="1" x14ac:dyDescent="0.35">
      <c r="A158" s="93" t="s">
        <v>86</v>
      </c>
      <c r="B158" s="94">
        <v>2018</v>
      </c>
      <c r="C158" s="99">
        <v>27.8</v>
      </c>
      <c r="D158" s="94" t="s">
        <v>22</v>
      </c>
      <c r="E158" s="99">
        <v>194.8</v>
      </c>
      <c r="F158" s="95">
        <v>-3.51</v>
      </c>
    </row>
    <row r="159" spans="1:6" ht="15" customHeight="1" x14ac:dyDescent="0.35">
      <c r="A159" s="96" t="s">
        <v>86</v>
      </c>
      <c r="B159" s="97">
        <v>2019</v>
      </c>
      <c r="C159" s="43">
        <v>22.16</v>
      </c>
      <c r="D159" s="97" t="s">
        <v>22</v>
      </c>
      <c r="E159" s="43">
        <v>155.30000000000001</v>
      </c>
      <c r="F159" s="42">
        <v>-20.29</v>
      </c>
    </row>
    <row r="160" spans="1:6" ht="15" customHeight="1" x14ac:dyDescent="0.35">
      <c r="A160" s="93" t="s">
        <v>86</v>
      </c>
      <c r="B160" s="94">
        <v>2020</v>
      </c>
      <c r="C160" s="99">
        <v>19.100000000000001</v>
      </c>
      <c r="D160" s="94" t="s">
        <v>22</v>
      </c>
      <c r="E160" s="99">
        <v>133.80000000000001</v>
      </c>
      <c r="F160" s="95">
        <v>-13.81</v>
      </c>
    </row>
    <row r="161" spans="1:6" ht="15" customHeight="1" x14ac:dyDescent="0.35">
      <c r="A161" s="96" t="s">
        <v>86</v>
      </c>
      <c r="B161" s="97">
        <v>2021</v>
      </c>
      <c r="C161" s="43">
        <v>20.72</v>
      </c>
      <c r="D161" s="97" t="s">
        <v>22</v>
      </c>
      <c r="E161" s="43">
        <v>145.19999999999999</v>
      </c>
      <c r="F161" s="42">
        <v>8.48</v>
      </c>
    </row>
    <row r="162" spans="1:6" ht="15" customHeight="1" x14ac:dyDescent="0.35">
      <c r="A162" s="93" t="s">
        <v>86</v>
      </c>
      <c r="B162" s="94">
        <v>2022</v>
      </c>
      <c r="C162" s="99">
        <v>22.3</v>
      </c>
      <c r="D162" s="94" t="s">
        <v>22</v>
      </c>
      <c r="E162" s="99">
        <v>156.30000000000001</v>
      </c>
      <c r="F162" s="95">
        <v>7.63</v>
      </c>
    </row>
    <row r="163" spans="1:6" ht="15" customHeight="1" x14ac:dyDescent="0.35">
      <c r="A163" s="96" t="s">
        <v>86</v>
      </c>
      <c r="B163" s="97">
        <v>2023</v>
      </c>
      <c r="C163" s="43">
        <v>18.86</v>
      </c>
      <c r="D163" s="97" t="s">
        <v>22</v>
      </c>
      <c r="E163" s="43">
        <v>132.19999999999999</v>
      </c>
      <c r="F163" s="42">
        <v>-15.43</v>
      </c>
    </row>
    <row r="164" spans="1:6" ht="15" customHeight="1" x14ac:dyDescent="0.35">
      <c r="A164" s="93" t="s">
        <v>87</v>
      </c>
      <c r="B164" s="94">
        <v>2015</v>
      </c>
      <c r="C164" s="99">
        <v>5.92</v>
      </c>
      <c r="D164" s="94" t="s">
        <v>22</v>
      </c>
      <c r="E164" s="99">
        <v>100</v>
      </c>
      <c r="F164" s="95"/>
    </row>
    <row r="165" spans="1:6" ht="15" customHeight="1" x14ac:dyDescent="0.35">
      <c r="A165" s="96" t="s">
        <v>87</v>
      </c>
      <c r="B165" s="97">
        <v>2016</v>
      </c>
      <c r="C165" s="43">
        <v>51.74</v>
      </c>
      <c r="D165" s="97" t="s">
        <v>22</v>
      </c>
      <c r="E165" s="43">
        <v>874</v>
      </c>
      <c r="F165" s="42">
        <v>773.99</v>
      </c>
    </row>
    <row r="166" spans="1:6" ht="15" customHeight="1" x14ac:dyDescent="0.35">
      <c r="A166" s="93" t="s">
        <v>87</v>
      </c>
      <c r="B166" s="94">
        <v>2017</v>
      </c>
      <c r="C166" s="99">
        <v>49.15</v>
      </c>
      <c r="D166" s="94" t="s">
        <v>22</v>
      </c>
      <c r="E166" s="99">
        <v>830.2</v>
      </c>
      <c r="F166" s="95">
        <v>-5.01</v>
      </c>
    </row>
    <row r="167" spans="1:6" ht="15" customHeight="1" x14ac:dyDescent="0.35">
      <c r="A167" s="96" t="s">
        <v>87</v>
      </c>
      <c r="B167" s="97">
        <v>2018</v>
      </c>
      <c r="C167" s="43">
        <v>50.47</v>
      </c>
      <c r="D167" s="97" t="s">
        <v>22</v>
      </c>
      <c r="E167" s="43">
        <v>852.5</v>
      </c>
      <c r="F167" s="42">
        <v>2.69</v>
      </c>
    </row>
    <row r="168" spans="1:6" ht="15" customHeight="1" x14ac:dyDescent="0.35">
      <c r="A168" s="93" t="s">
        <v>87</v>
      </c>
      <c r="B168" s="94">
        <v>2019</v>
      </c>
      <c r="C168" s="99">
        <v>47.57</v>
      </c>
      <c r="D168" s="94" t="s">
        <v>22</v>
      </c>
      <c r="E168" s="99">
        <v>803.5</v>
      </c>
      <c r="F168" s="95">
        <v>-5.75</v>
      </c>
    </row>
    <row r="169" spans="1:6" ht="15" customHeight="1" x14ac:dyDescent="0.35">
      <c r="A169" s="96" t="s">
        <v>87</v>
      </c>
      <c r="B169" s="97">
        <v>2020</v>
      </c>
      <c r="C169" s="43">
        <v>42.74</v>
      </c>
      <c r="D169" s="97" t="s">
        <v>22</v>
      </c>
      <c r="E169" s="43">
        <v>722</v>
      </c>
      <c r="F169" s="42">
        <v>-10.15</v>
      </c>
    </row>
    <row r="170" spans="1:6" ht="15" customHeight="1" x14ac:dyDescent="0.35">
      <c r="A170" s="93" t="s">
        <v>87</v>
      </c>
      <c r="B170" s="94">
        <v>2021</v>
      </c>
      <c r="C170" s="99">
        <v>60.99</v>
      </c>
      <c r="D170" s="94" t="s">
        <v>22</v>
      </c>
      <c r="E170" s="99">
        <v>1030.2</v>
      </c>
      <c r="F170" s="95">
        <v>42.7</v>
      </c>
    </row>
    <row r="171" spans="1:6" ht="15" customHeight="1" x14ac:dyDescent="0.35">
      <c r="A171" s="96" t="s">
        <v>87</v>
      </c>
      <c r="B171" s="97">
        <v>2022</v>
      </c>
      <c r="C171" s="43">
        <v>58.81</v>
      </c>
      <c r="D171" s="97" t="s">
        <v>22</v>
      </c>
      <c r="E171" s="43">
        <v>993.4</v>
      </c>
      <c r="F171" s="42">
        <v>-3.57</v>
      </c>
    </row>
    <row r="172" spans="1:6" ht="15" customHeight="1" x14ac:dyDescent="0.35">
      <c r="A172" s="93" t="s">
        <v>87</v>
      </c>
      <c r="B172" s="94">
        <v>2023</v>
      </c>
      <c r="C172" s="99">
        <v>54.56</v>
      </c>
      <c r="D172" s="94" t="s">
        <v>22</v>
      </c>
      <c r="E172" s="99">
        <v>921.6</v>
      </c>
      <c r="F172" s="95">
        <v>-7.23</v>
      </c>
    </row>
    <row r="173" spans="1:6" ht="15" customHeight="1" x14ac:dyDescent="0.35">
      <c r="A173" s="96" t="s">
        <v>88</v>
      </c>
      <c r="B173" s="97">
        <v>2015</v>
      </c>
      <c r="C173" s="43">
        <v>374.23</v>
      </c>
      <c r="D173" s="97" t="s">
        <v>22</v>
      </c>
      <c r="E173" s="43">
        <v>100</v>
      </c>
      <c r="F173" s="42"/>
    </row>
    <row r="174" spans="1:6" ht="15" customHeight="1" x14ac:dyDescent="0.35">
      <c r="A174" s="93" t="s">
        <v>88</v>
      </c>
      <c r="B174" s="94">
        <v>2016</v>
      </c>
      <c r="C174" s="99">
        <v>409.88</v>
      </c>
      <c r="D174" s="94" t="s">
        <v>22</v>
      </c>
      <c r="E174" s="99">
        <v>109.5</v>
      </c>
      <c r="F174" s="95">
        <v>9.5299999999999994</v>
      </c>
    </row>
    <row r="175" spans="1:6" ht="15" customHeight="1" x14ac:dyDescent="0.35">
      <c r="A175" s="96" t="s">
        <v>88</v>
      </c>
      <c r="B175" s="97">
        <v>2017</v>
      </c>
      <c r="C175" s="43">
        <v>414.62</v>
      </c>
      <c r="D175" s="97" t="s">
        <v>22</v>
      </c>
      <c r="E175" s="43">
        <v>110.8</v>
      </c>
      <c r="F175" s="42">
        <v>1.1599999999999999</v>
      </c>
    </row>
    <row r="176" spans="1:6" ht="15" customHeight="1" x14ac:dyDescent="0.35">
      <c r="A176" s="93" t="s">
        <v>88</v>
      </c>
      <c r="B176" s="94">
        <v>2018</v>
      </c>
      <c r="C176" s="99">
        <v>400</v>
      </c>
      <c r="D176" s="94" t="s">
        <v>22</v>
      </c>
      <c r="E176" s="99">
        <v>106.9</v>
      </c>
      <c r="F176" s="95">
        <v>-3.53</v>
      </c>
    </row>
    <row r="177" spans="1:6" ht="15" customHeight="1" x14ac:dyDescent="0.35">
      <c r="A177" s="96" t="s">
        <v>88</v>
      </c>
      <c r="B177" s="97">
        <v>2019</v>
      </c>
      <c r="C177" s="43">
        <v>390.49</v>
      </c>
      <c r="D177" s="97" t="s">
        <v>22</v>
      </c>
      <c r="E177" s="43">
        <v>104.3</v>
      </c>
      <c r="F177" s="42">
        <v>-2.38</v>
      </c>
    </row>
    <row r="178" spans="1:6" ht="15" customHeight="1" x14ac:dyDescent="0.35">
      <c r="A178" s="93" t="s">
        <v>88</v>
      </c>
      <c r="B178" s="94">
        <v>2020</v>
      </c>
      <c r="C178" s="99">
        <v>351.59</v>
      </c>
      <c r="D178" s="94" t="s">
        <v>22</v>
      </c>
      <c r="E178" s="99">
        <v>94</v>
      </c>
      <c r="F178" s="95">
        <v>-9.9600000000000009</v>
      </c>
    </row>
    <row r="179" spans="1:6" ht="15" customHeight="1" x14ac:dyDescent="0.35">
      <c r="A179" s="96" t="s">
        <v>88</v>
      </c>
      <c r="B179" s="97">
        <v>2021</v>
      </c>
      <c r="C179" s="43">
        <v>383.4</v>
      </c>
      <c r="D179" s="97" t="s">
        <v>22</v>
      </c>
      <c r="E179" s="43">
        <v>102.5</v>
      </c>
      <c r="F179" s="42">
        <v>9.0500000000000007</v>
      </c>
    </row>
    <row r="180" spans="1:6" ht="15" customHeight="1" x14ac:dyDescent="0.35">
      <c r="A180" s="93" t="s">
        <v>88</v>
      </c>
      <c r="B180" s="94">
        <v>2022</v>
      </c>
      <c r="C180" s="99">
        <v>370.91</v>
      </c>
      <c r="D180" s="94" t="s">
        <v>22</v>
      </c>
      <c r="E180" s="99">
        <v>99.1</v>
      </c>
      <c r="F180" s="95">
        <v>-3.26</v>
      </c>
    </row>
    <row r="181" spans="1:6" ht="15" customHeight="1" x14ac:dyDescent="0.35">
      <c r="A181" s="96" t="s">
        <v>88</v>
      </c>
      <c r="B181" s="97">
        <v>2023</v>
      </c>
      <c r="C181" s="43">
        <v>347.38</v>
      </c>
      <c r="D181" s="97" t="s">
        <v>22</v>
      </c>
      <c r="E181" s="43">
        <v>92.8</v>
      </c>
      <c r="F181" s="42">
        <v>-6.34</v>
      </c>
    </row>
    <row r="182" spans="1:6" ht="15" customHeight="1" x14ac:dyDescent="0.35">
      <c r="A182" s="93" t="s">
        <v>89</v>
      </c>
      <c r="B182" s="94">
        <v>2015</v>
      </c>
      <c r="C182" s="99">
        <v>11103.35</v>
      </c>
      <c r="D182" s="94" t="s">
        <v>20</v>
      </c>
      <c r="E182" s="99">
        <v>100</v>
      </c>
      <c r="F182" s="95"/>
    </row>
    <row r="183" spans="1:6" ht="15" customHeight="1" x14ac:dyDescent="0.35">
      <c r="A183" s="96" t="s">
        <v>89</v>
      </c>
      <c r="B183" s="97">
        <v>2016</v>
      </c>
      <c r="C183" s="43">
        <v>10955.02</v>
      </c>
      <c r="D183" s="97" t="s">
        <v>20</v>
      </c>
      <c r="E183" s="43">
        <v>98.7</v>
      </c>
      <c r="F183" s="42">
        <v>-1.34</v>
      </c>
    </row>
    <row r="184" spans="1:6" ht="15" customHeight="1" x14ac:dyDescent="0.35">
      <c r="A184" s="93" t="s">
        <v>89</v>
      </c>
      <c r="B184" s="94">
        <v>2017</v>
      </c>
      <c r="C184" s="99">
        <v>11189.72</v>
      </c>
      <c r="D184" s="94" t="s">
        <v>20</v>
      </c>
      <c r="E184" s="99">
        <v>100.8</v>
      </c>
      <c r="F184" s="95">
        <v>2.14</v>
      </c>
    </row>
    <row r="185" spans="1:6" ht="15" customHeight="1" x14ac:dyDescent="0.35">
      <c r="A185" s="96" t="s">
        <v>89</v>
      </c>
      <c r="B185" s="97">
        <v>2018</v>
      </c>
      <c r="C185" s="43">
        <v>11662.12</v>
      </c>
      <c r="D185" s="97" t="s">
        <v>20</v>
      </c>
      <c r="E185" s="43">
        <v>105</v>
      </c>
      <c r="F185" s="42">
        <v>4.22</v>
      </c>
    </row>
    <row r="186" spans="1:6" ht="15" customHeight="1" x14ac:dyDescent="0.35">
      <c r="A186" s="93" t="s">
        <v>89</v>
      </c>
      <c r="B186" s="94">
        <v>2019</v>
      </c>
      <c r="C186" s="99">
        <v>11915.69</v>
      </c>
      <c r="D186" s="94" t="s">
        <v>20</v>
      </c>
      <c r="E186" s="99">
        <v>107.3</v>
      </c>
      <c r="F186" s="95">
        <v>2.17</v>
      </c>
    </row>
    <row r="187" spans="1:6" ht="15" customHeight="1" x14ac:dyDescent="0.35">
      <c r="A187" s="96" t="s">
        <v>89</v>
      </c>
      <c r="B187" s="97">
        <v>2020</v>
      </c>
      <c r="C187" s="43">
        <v>12084.55</v>
      </c>
      <c r="D187" s="97" t="s">
        <v>20</v>
      </c>
      <c r="E187" s="43">
        <v>108.8</v>
      </c>
      <c r="F187" s="42">
        <v>1.42</v>
      </c>
    </row>
    <row r="188" spans="1:6" ht="15" customHeight="1" x14ac:dyDescent="0.35">
      <c r="A188" s="93" t="s">
        <v>89</v>
      </c>
      <c r="B188" s="94">
        <v>2021</v>
      </c>
      <c r="C188" s="99">
        <v>12665.78</v>
      </c>
      <c r="D188" s="94" t="s">
        <v>20</v>
      </c>
      <c r="E188" s="99">
        <v>114.1</v>
      </c>
      <c r="F188" s="95">
        <v>4.8099999999999996</v>
      </c>
    </row>
    <row r="189" spans="1:6" ht="15" customHeight="1" x14ac:dyDescent="0.35">
      <c r="A189" s="96" t="s">
        <v>89</v>
      </c>
      <c r="B189" s="97">
        <v>2022</v>
      </c>
      <c r="C189" s="43">
        <v>12651.27</v>
      </c>
      <c r="D189" s="97" t="s">
        <v>20</v>
      </c>
      <c r="E189" s="43">
        <v>113.9</v>
      </c>
      <c r="F189" s="42">
        <v>-0.11</v>
      </c>
    </row>
    <row r="190" spans="1:6" ht="15" customHeight="1" x14ac:dyDescent="0.35">
      <c r="A190" s="93" t="s">
        <v>89</v>
      </c>
      <c r="B190" s="94">
        <v>2023</v>
      </c>
      <c r="C190" s="99">
        <v>13152.05</v>
      </c>
      <c r="D190" s="94" t="s">
        <v>20</v>
      </c>
      <c r="E190" s="99">
        <v>118.5</v>
      </c>
      <c r="F190" s="95">
        <v>3.96</v>
      </c>
    </row>
    <row r="191" spans="1:6" ht="15" customHeight="1" x14ac:dyDescent="0.35">
      <c r="A191" s="96" t="s">
        <v>90</v>
      </c>
      <c r="B191" s="97">
        <v>2015</v>
      </c>
      <c r="C191" s="43">
        <v>812.94</v>
      </c>
      <c r="D191" s="97" t="s">
        <v>22</v>
      </c>
      <c r="E191" s="43">
        <v>100</v>
      </c>
      <c r="F191" s="42"/>
    </row>
    <row r="192" spans="1:6" ht="15" customHeight="1" x14ac:dyDescent="0.35">
      <c r="A192" s="93" t="s">
        <v>90</v>
      </c>
      <c r="B192" s="94">
        <v>2016</v>
      </c>
      <c r="C192" s="99">
        <v>870.61</v>
      </c>
      <c r="D192" s="94" t="s">
        <v>22</v>
      </c>
      <c r="E192" s="99">
        <v>107.1</v>
      </c>
      <c r="F192" s="95">
        <v>7.09</v>
      </c>
    </row>
    <row r="193" spans="1:6" ht="15" customHeight="1" x14ac:dyDescent="0.35">
      <c r="A193" s="96" t="s">
        <v>90</v>
      </c>
      <c r="B193" s="97">
        <v>2017</v>
      </c>
      <c r="C193" s="43">
        <v>853.99</v>
      </c>
      <c r="D193" s="97" t="s">
        <v>22</v>
      </c>
      <c r="E193" s="43">
        <v>105</v>
      </c>
      <c r="F193" s="42">
        <v>-1.91</v>
      </c>
    </row>
    <row r="194" spans="1:6" ht="15" customHeight="1" x14ac:dyDescent="0.35">
      <c r="A194" s="93" t="s">
        <v>90</v>
      </c>
      <c r="B194" s="94">
        <v>2018</v>
      </c>
      <c r="C194" s="99">
        <v>824.02</v>
      </c>
      <c r="D194" s="94" t="s">
        <v>22</v>
      </c>
      <c r="E194" s="99">
        <v>101.4</v>
      </c>
      <c r="F194" s="95">
        <v>-3.51</v>
      </c>
    </row>
    <row r="195" spans="1:6" ht="15" customHeight="1" x14ac:dyDescent="0.35">
      <c r="A195" s="96" t="s">
        <v>90</v>
      </c>
      <c r="B195" s="97">
        <v>2019</v>
      </c>
      <c r="C195" s="43">
        <v>772.93</v>
      </c>
      <c r="D195" s="97" t="s">
        <v>22</v>
      </c>
      <c r="E195" s="43">
        <v>95.1</v>
      </c>
      <c r="F195" s="42">
        <v>-6.2</v>
      </c>
    </row>
    <row r="196" spans="1:6" ht="15" customHeight="1" x14ac:dyDescent="0.35">
      <c r="A196" s="93" t="s">
        <v>90</v>
      </c>
      <c r="B196" s="94">
        <v>2020</v>
      </c>
      <c r="C196" s="99">
        <v>719.09</v>
      </c>
      <c r="D196" s="94" t="s">
        <v>22</v>
      </c>
      <c r="E196" s="99">
        <v>88.5</v>
      </c>
      <c r="F196" s="95">
        <v>-6.97</v>
      </c>
    </row>
    <row r="197" spans="1:6" ht="15" customHeight="1" x14ac:dyDescent="0.35">
      <c r="A197" s="96" t="s">
        <v>90</v>
      </c>
      <c r="B197" s="97">
        <v>2021</v>
      </c>
      <c r="C197" s="43">
        <v>741.56</v>
      </c>
      <c r="D197" s="97" t="s">
        <v>22</v>
      </c>
      <c r="E197" s="43">
        <v>91.2</v>
      </c>
      <c r="F197" s="42">
        <v>3.12</v>
      </c>
    </row>
    <row r="198" spans="1:6" ht="15" customHeight="1" x14ac:dyDescent="0.35">
      <c r="A198" s="93" t="s">
        <v>90</v>
      </c>
      <c r="B198" s="94">
        <v>2022</v>
      </c>
      <c r="C198" s="99">
        <v>731.26</v>
      </c>
      <c r="D198" s="94" t="s">
        <v>22</v>
      </c>
      <c r="E198" s="99">
        <v>90</v>
      </c>
      <c r="F198" s="95">
        <v>-1.39</v>
      </c>
    </row>
    <row r="199" spans="1:6" ht="15" customHeight="1" x14ac:dyDescent="0.35">
      <c r="A199" s="96" t="s">
        <v>90</v>
      </c>
      <c r="B199" s="97">
        <v>2023</v>
      </c>
      <c r="C199" s="43">
        <v>668.63</v>
      </c>
      <c r="D199" s="97" t="s">
        <v>22</v>
      </c>
      <c r="E199" s="43">
        <v>82.2</v>
      </c>
      <c r="F199" s="42">
        <v>-8.56</v>
      </c>
    </row>
    <row r="200" spans="1:6" ht="15" customHeight="1" x14ac:dyDescent="0.35">
      <c r="A200" s="93" t="s">
        <v>219</v>
      </c>
      <c r="B200" s="94">
        <v>2015</v>
      </c>
      <c r="C200" s="99">
        <v>678.95</v>
      </c>
      <c r="D200" s="94" t="s">
        <v>24</v>
      </c>
      <c r="E200" s="99">
        <v>100</v>
      </c>
      <c r="F200" s="95"/>
    </row>
    <row r="201" spans="1:6" ht="15" customHeight="1" x14ac:dyDescent="0.35">
      <c r="A201" s="96" t="s">
        <v>219</v>
      </c>
      <c r="B201" s="97">
        <v>2016</v>
      </c>
      <c r="C201" s="43">
        <v>722.32</v>
      </c>
      <c r="D201" s="97" t="s">
        <v>24</v>
      </c>
      <c r="E201" s="43">
        <v>106.4</v>
      </c>
      <c r="F201" s="42">
        <v>6.39</v>
      </c>
    </row>
    <row r="202" spans="1:6" ht="15" customHeight="1" x14ac:dyDescent="0.35">
      <c r="A202" s="93" t="s">
        <v>219</v>
      </c>
      <c r="B202" s="94">
        <v>2017</v>
      </c>
      <c r="C202" s="99">
        <v>720.16</v>
      </c>
      <c r="D202" s="94" t="s">
        <v>24</v>
      </c>
      <c r="E202" s="99">
        <v>106.1</v>
      </c>
      <c r="F202" s="95">
        <v>-0.3</v>
      </c>
    </row>
    <row r="203" spans="1:6" ht="15" customHeight="1" x14ac:dyDescent="0.35">
      <c r="A203" s="96" t="s">
        <v>219</v>
      </c>
      <c r="B203" s="97">
        <v>2018</v>
      </c>
      <c r="C203" s="43">
        <v>703.37</v>
      </c>
      <c r="D203" s="97" t="s">
        <v>24</v>
      </c>
      <c r="E203" s="43">
        <v>103.6</v>
      </c>
      <c r="F203" s="42">
        <v>-2.33</v>
      </c>
    </row>
    <row r="204" spans="1:6" ht="15" customHeight="1" x14ac:dyDescent="0.35">
      <c r="A204" s="93" t="s">
        <v>219</v>
      </c>
      <c r="B204" s="94">
        <v>2019</v>
      </c>
      <c r="C204" s="99">
        <v>717.6</v>
      </c>
      <c r="D204" s="94" t="s">
        <v>24</v>
      </c>
      <c r="E204" s="99">
        <v>105.7</v>
      </c>
      <c r="F204" s="95">
        <v>2.02</v>
      </c>
    </row>
    <row r="205" spans="1:6" ht="15" customHeight="1" x14ac:dyDescent="0.35">
      <c r="A205" s="96" t="s">
        <v>219</v>
      </c>
      <c r="B205" s="97">
        <v>2020</v>
      </c>
      <c r="C205" s="43">
        <v>664.85</v>
      </c>
      <c r="D205" s="97" t="s">
        <v>24</v>
      </c>
      <c r="E205" s="43">
        <v>97.9</v>
      </c>
      <c r="F205" s="42">
        <v>-7.35</v>
      </c>
    </row>
    <row r="206" spans="1:6" ht="15" customHeight="1" x14ac:dyDescent="0.35">
      <c r="A206" s="93" t="s">
        <v>219</v>
      </c>
      <c r="B206" s="94">
        <v>2021</v>
      </c>
      <c r="C206" s="99">
        <v>676.79</v>
      </c>
      <c r="D206" s="94" t="s">
        <v>24</v>
      </c>
      <c r="E206" s="99">
        <v>99.7</v>
      </c>
      <c r="F206" s="95">
        <v>1.8</v>
      </c>
    </row>
    <row r="207" spans="1:6" ht="15" customHeight="1" x14ac:dyDescent="0.35">
      <c r="A207" s="96" t="s">
        <v>219</v>
      </c>
      <c r="B207" s="97">
        <v>2022</v>
      </c>
      <c r="C207" s="43">
        <v>708.03</v>
      </c>
      <c r="D207" s="97" t="s">
        <v>24</v>
      </c>
      <c r="E207" s="43">
        <v>104.3</v>
      </c>
      <c r="F207" s="42">
        <v>4.62</v>
      </c>
    </row>
    <row r="208" spans="1:6" ht="15" customHeight="1" x14ac:dyDescent="0.35">
      <c r="A208" s="93" t="s">
        <v>219</v>
      </c>
      <c r="B208" s="94">
        <v>2023</v>
      </c>
      <c r="C208" s="99">
        <v>731.02</v>
      </c>
      <c r="D208" s="94" t="s">
        <v>24</v>
      </c>
      <c r="E208" s="99">
        <v>107.7</v>
      </c>
      <c r="F208" s="95">
        <v>3.25</v>
      </c>
    </row>
    <row r="209" spans="1:6" ht="15" customHeight="1" x14ac:dyDescent="0.35">
      <c r="A209" s="96" t="s">
        <v>91</v>
      </c>
      <c r="B209" s="97">
        <v>2015</v>
      </c>
      <c r="C209" s="43">
        <v>11103.35</v>
      </c>
      <c r="D209" s="97" t="s">
        <v>20</v>
      </c>
      <c r="E209" s="43">
        <v>100</v>
      </c>
      <c r="F209" s="42"/>
    </row>
    <row r="210" spans="1:6" ht="15" customHeight="1" x14ac:dyDescent="0.35">
      <c r="A210" s="93" t="s">
        <v>91</v>
      </c>
      <c r="B210" s="94">
        <v>2016</v>
      </c>
      <c r="C210" s="99">
        <v>10955.02</v>
      </c>
      <c r="D210" s="94" t="s">
        <v>20</v>
      </c>
      <c r="E210" s="99">
        <v>98.7</v>
      </c>
      <c r="F210" s="95">
        <v>-1.34</v>
      </c>
    </row>
    <row r="211" spans="1:6" ht="15" customHeight="1" x14ac:dyDescent="0.35">
      <c r="A211" s="96" t="s">
        <v>91</v>
      </c>
      <c r="B211" s="97">
        <v>2017</v>
      </c>
      <c r="C211" s="43">
        <v>11189.72</v>
      </c>
      <c r="D211" s="97" t="s">
        <v>20</v>
      </c>
      <c r="E211" s="43">
        <v>100.8</v>
      </c>
      <c r="F211" s="42">
        <v>2.14</v>
      </c>
    </row>
    <row r="212" spans="1:6" ht="15" customHeight="1" x14ac:dyDescent="0.35">
      <c r="A212" s="93" t="s">
        <v>91</v>
      </c>
      <c r="B212" s="94">
        <v>2018</v>
      </c>
      <c r="C212" s="99">
        <v>11662.12</v>
      </c>
      <c r="D212" s="94" t="s">
        <v>20</v>
      </c>
      <c r="E212" s="99">
        <v>105</v>
      </c>
      <c r="F212" s="95">
        <v>4.22</v>
      </c>
    </row>
    <row r="213" spans="1:6" ht="15" customHeight="1" x14ac:dyDescent="0.35">
      <c r="A213" s="96" t="s">
        <v>91</v>
      </c>
      <c r="B213" s="97">
        <v>2019</v>
      </c>
      <c r="C213" s="43">
        <v>11915.69</v>
      </c>
      <c r="D213" s="97" t="s">
        <v>20</v>
      </c>
      <c r="E213" s="43">
        <v>107.3</v>
      </c>
      <c r="F213" s="42">
        <v>2.17</v>
      </c>
    </row>
    <row r="214" spans="1:6" ht="15" customHeight="1" x14ac:dyDescent="0.35">
      <c r="A214" s="93" t="s">
        <v>91</v>
      </c>
      <c r="B214" s="94">
        <v>2020</v>
      </c>
      <c r="C214" s="99">
        <v>12084.55</v>
      </c>
      <c r="D214" s="94" t="s">
        <v>20</v>
      </c>
      <c r="E214" s="99">
        <v>108.8</v>
      </c>
      <c r="F214" s="95">
        <v>1.42</v>
      </c>
    </row>
    <row r="215" spans="1:6" ht="15" customHeight="1" x14ac:dyDescent="0.35">
      <c r="A215" s="96" t="s">
        <v>91</v>
      </c>
      <c r="B215" s="97">
        <v>2021</v>
      </c>
      <c r="C215" s="43">
        <v>12665.78</v>
      </c>
      <c r="D215" s="97" t="s">
        <v>20</v>
      </c>
      <c r="E215" s="43">
        <v>114.1</v>
      </c>
      <c r="F215" s="42">
        <v>4.8099999999999996</v>
      </c>
    </row>
    <row r="216" spans="1:6" ht="15" customHeight="1" x14ac:dyDescent="0.35">
      <c r="A216" s="93" t="s">
        <v>91</v>
      </c>
      <c r="B216" s="94">
        <v>2022</v>
      </c>
      <c r="C216" s="99">
        <v>12651.27</v>
      </c>
      <c r="D216" s="94" t="s">
        <v>20</v>
      </c>
      <c r="E216" s="99">
        <v>113.9</v>
      </c>
      <c r="F216" s="95">
        <v>-0.11</v>
      </c>
    </row>
    <row r="217" spans="1:6" ht="15" customHeight="1" x14ac:dyDescent="0.35">
      <c r="A217" s="96" t="s">
        <v>91</v>
      </c>
      <c r="B217" s="97">
        <v>2023</v>
      </c>
      <c r="C217" s="43">
        <v>13152.05</v>
      </c>
      <c r="D217" s="97" t="s">
        <v>20</v>
      </c>
      <c r="E217" s="43">
        <v>118.5</v>
      </c>
      <c r="F217" s="42">
        <v>3.96</v>
      </c>
    </row>
    <row r="218" spans="1:6" ht="15" customHeight="1" x14ac:dyDescent="0.35">
      <c r="A218" s="93" t="s">
        <v>92</v>
      </c>
      <c r="B218" s="94">
        <v>2015</v>
      </c>
      <c r="C218" s="99">
        <v>11103.35</v>
      </c>
      <c r="D218" s="94" t="s">
        <v>20</v>
      </c>
      <c r="E218" s="99">
        <v>100</v>
      </c>
      <c r="F218" s="95"/>
    </row>
    <row r="219" spans="1:6" ht="15" customHeight="1" x14ac:dyDescent="0.35">
      <c r="A219" s="96" t="s">
        <v>92</v>
      </c>
      <c r="B219" s="97">
        <v>2016</v>
      </c>
      <c r="C219" s="43">
        <v>10955.02</v>
      </c>
      <c r="D219" s="97" t="s">
        <v>20</v>
      </c>
      <c r="E219" s="43">
        <v>98.7</v>
      </c>
      <c r="F219" s="42">
        <v>-1.34</v>
      </c>
    </row>
    <row r="220" spans="1:6" ht="15" customHeight="1" x14ac:dyDescent="0.35">
      <c r="A220" s="93" t="s">
        <v>92</v>
      </c>
      <c r="B220" s="94">
        <v>2017</v>
      </c>
      <c r="C220" s="99">
        <v>11189.72</v>
      </c>
      <c r="D220" s="94" t="s">
        <v>20</v>
      </c>
      <c r="E220" s="99">
        <v>100.8</v>
      </c>
      <c r="F220" s="95">
        <v>2.14</v>
      </c>
    </row>
    <row r="221" spans="1:6" ht="15" customHeight="1" x14ac:dyDescent="0.35">
      <c r="A221" s="96" t="s">
        <v>92</v>
      </c>
      <c r="B221" s="97">
        <v>2018</v>
      </c>
      <c r="C221" s="43">
        <v>11662.12</v>
      </c>
      <c r="D221" s="97" t="s">
        <v>20</v>
      </c>
      <c r="E221" s="43">
        <v>105</v>
      </c>
      <c r="F221" s="42">
        <v>4.22</v>
      </c>
    </row>
    <row r="222" spans="1:6" ht="15" customHeight="1" x14ac:dyDescent="0.35">
      <c r="A222" s="93" t="s">
        <v>92</v>
      </c>
      <c r="B222" s="94">
        <v>2019</v>
      </c>
      <c r="C222" s="99">
        <v>11915.69</v>
      </c>
      <c r="D222" s="94" t="s">
        <v>20</v>
      </c>
      <c r="E222" s="99">
        <v>107.3</v>
      </c>
      <c r="F222" s="95">
        <v>2.17</v>
      </c>
    </row>
    <row r="223" spans="1:6" ht="15" customHeight="1" x14ac:dyDescent="0.35">
      <c r="A223" s="96" t="s">
        <v>92</v>
      </c>
      <c r="B223" s="97">
        <v>2020</v>
      </c>
      <c r="C223" s="43">
        <v>12084.55</v>
      </c>
      <c r="D223" s="97" t="s">
        <v>20</v>
      </c>
      <c r="E223" s="43">
        <v>108.8</v>
      </c>
      <c r="F223" s="42">
        <v>1.42</v>
      </c>
    </row>
    <row r="224" spans="1:6" ht="15" customHeight="1" x14ac:dyDescent="0.35">
      <c r="A224" s="93" t="s">
        <v>92</v>
      </c>
      <c r="B224" s="94">
        <v>2021</v>
      </c>
      <c r="C224" s="99">
        <v>12665.78</v>
      </c>
      <c r="D224" s="94" t="s">
        <v>20</v>
      </c>
      <c r="E224" s="99">
        <v>114.1</v>
      </c>
      <c r="F224" s="95">
        <v>4.8099999999999996</v>
      </c>
    </row>
    <row r="225" spans="1:6" ht="15" customHeight="1" x14ac:dyDescent="0.35">
      <c r="A225" s="96" t="s">
        <v>92</v>
      </c>
      <c r="B225" s="97">
        <v>2022</v>
      </c>
      <c r="C225" s="43">
        <v>12651.27</v>
      </c>
      <c r="D225" s="97" t="s">
        <v>20</v>
      </c>
      <c r="E225" s="43">
        <v>113.9</v>
      </c>
      <c r="F225" s="42">
        <v>-0.11</v>
      </c>
    </row>
    <row r="226" spans="1:6" ht="15" customHeight="1" x14ac:dyDescent="0.35">
      <c r="A226" s="93" t="s">
        <v>92</v>
      </c>
      <c r="B226" s="94">
        <v>2023</v>
      </c>
      <c r="C226" s="99">
        <v>13152.05</v>
      </c>
      <c r="D226" s="94" t="s">
        <v>20</v>
      </c>
      <c r="E226" s="99">
        <v>118.5</v>
      </c>
      <c r="F226" s="95">
        <v>3.96</v>
      </c>
    </row>
    <row r="227" spans="1:6" ht="15" customHeight="1" x14ac:dyDescent="0.35">
      <c r="A227" s="96" t="s">
        <v>220</v>
      </c>
      <c r="B227" s="97">
        <v>2015</v>
      </c>
      <c r="C227" s="43">
        <v>61.06</v>
      </c>
      <c r="D227" s="97" t="s">
        <v>22</v>
      </c>
      <c r="E227" s="43">
        <v>100</v>
      </c>
      <c r="F227" s="42"/>
    </row>
    <row r="228" spans="1:6" ht="15" customHeight="1" x14ac:dyDescent="0.35">
      <c r="A228" s="93" t="s">
        <v>220</v>
      </c>
      <c r="B228" s="94">
        <v>2016</v>
      </c>
      <c r="C228" s="99">
        <v>61.71</v>
      </c>
      <c r="D228" s="94" t="s">
        <v>22</v>
      </c>
      <c r="E228" s="99">
        <v>101.1</v>
      </c>
      <c r="F228" s="95">
        <v>1.06</v>
      </c>
    </row>
    <row r="229" spans="1:6" ht="15" customHeight="1" x14ac:dyDescent="0.35">
      <c r="A229" s="96" t="s">
        <v>220</v>
      </c>
      <c r="B229" s="97">
        <v>2017</v>
      </c>
      <c r="C229" s="43">
        <v>63.9</v>
      </c>
      <c r="D229" s="97" t="s">
        <v>22</v>
      </c>
      <c r="E229" s="43">
        <v>104.7</v>
      </c>
      <c r="F229" s="42">
        <v>3.55</v>
      </c>
    </row>
    <row r="230" spans="1:6" ht="15" customHeight="1" x14ac:dyDescent="0.35">
      <c r="A230" s="93" t="s">
        <v>220</v>
      </c>
      <c r="B230" s="94">
        <v>2018</v>
      </c>
      <c r="C230" s="99">
        <v>63.89</v>
      </c>
      <c r="D230" s="94" t="s">
        <v>22</v>
      </c>
      <c r="E230" s="99">
        <v>104.6</v>
      </c>
      <c r="F230" s="95">
        <v>-0.02</v>
      </c>
    </row>
    <row r="231" spans="1:6" ht="15" customHeight="1" x14ac:dyDescent="0.35">
      <c r="A231" s="96" t="s">
        <v>220</v>
      </c>
      <c r="B231" s="97">
        <v>2019</v>
      </c>
      <c r="C231" s="43">
        <v>63.89</v>
      </c>
      <c r="D231" s="97" t="s">
        <v>22</v>
      </c>
      <c r="E231" s="43">
        <v>104.6</v>
      </c>
      <c r="F231" s="42">
        <v>0</v>
      </c>
    </row>
    <row r="232" spans="1:6" ht="15" customHeight="1" x14ac:dyDescent="0.35">
      <c r="A232" s="93" t="s">
        <v>220</v>
      </c>
      <c r="B232" s="94">
        <v>2020</v>
      </c>
      <c r="C232" s="99">
        <v>62.29</v>
      </c>
      <c r="D232" s="94" t="s">
        <v>22</v>
      </c>
      <c r="E232" s="99">
        <v>102</v>
      </c>
      <c r="F232" s="95">
        <v>-2.5</v>
      </c>
    </row>
    <row r="233" spans="1:6" ht="15" customHeight="1" x14ac:dyDescent="0.35">
      <c r="A233" s="96" t="s">
        <v>220</v>
      </c>
      <c r="B233" s="97">
        <v>2021</v>
      </c>
      <c r="C233" s="43">
        <v>63.66</v>
      </c>
      <c r="D233" s="97" t="s">
        <v>22</v>
      </c>
      <c r="E233" s="43">
        <v>104.3</v>
      </c>
      <c r="F233" s="42">
        <v>2.2000000000000002</v>
      </c>
    </row>
    <row r="234" spans="1:6" ht="15" customHeight="1" x14ac:dyDescent="0.35">
      <c r="A234" s="93" t="s">
        <v>220</v>
      </c>
      <c r="B234" s="94">
        <v>2022</v>
      </c>
      <c r="C234" s="99">
        <v>59.83</v>
      </c>
      <c r="D234" s="94" t="s">
        <v>22</v>
      </c>
      <c r="E234" s="99">
        <v>98</v>
      </c>
      <c r="F234" s="95">
        <v>-6.02</v>
      </c>
    </row>
    <row r="235" spans="1:6" ht="15" customHeight="1" x14ac:dyDescent="0.35">
      <c r="A235" s="96" t="s">
        <v>220</v>
      </c>
      <c r="B235" s="97">
        <v>2023</v>
      </c>
      <c r="C235" s="43">
        <v>54.93</v>
      </c>
      <c r="D235" s="97" t="s">
        <v>22</v>
      </c>
      <c r="E235" s="43">
        <v>90</v>
      </c>
      <c r="F235" s="42">
        <v>-8.19</v>
      </c>
    </row>
    <row r="236" spans="1:6" ht="15" customHeight="1" x14ac:dyDescent="0.35">
      <c r="A236" s="93" t="s">
        <v>93</v>
      </c>
      <c r="B236" s="94">
        <v>2015</v>
      </c>
      <c r="C236" s="99">
        <v>3.86</v>
      </c>
      <c r="D236" s="94" t="s">
        <v>22</v>
      </c>
      <c r="E236" s="99">
        <v>100</v>
      </c>
      <c r="F236" s="95"/>
    </row>
    <row r="237" spans="1:6" ht="15" customHeight="1" x14ac:dyDescent="0.35">
      <c r="A237" s="96" t="s">
        <v>93</v>
      </c>
      <c r="B237" s="97">
        <v>2016</v>
      </c>
      <c r="C237" s="43">
        <v>3.45</v>
      </c>
      <c r="D237" s="97" t="s">
        <v>22</v>
      </c>
      <c r="E237" s="43">
        <v>89.4</v>
      </c>
      <c r="F237" s="42">
        <v>-10.62</v>
      </c>
    </row>
    <row r="238" spans="1:6" ht="15" customHeight="1" x14ac:dyDescent="0.35">
      <c r="A238" s="93" t="s">
        <v>93</v>
      </c>
      <c r="B238" s="94">
        <v>2017</v>
      </c>
      <c r="C238" s="99">
        <v>3.46</v>
      </c>
      <c r="D238" s="94" t="s">
        <v>22</v>
      </c>
      <c r="E238" s="99">
        <v>89.6</v>
      </c>
      <c r="F238" s="95">
        <v>0.28999999999999998</v>
      </c>
    </row>
    <row r="239" spans="1:6" ht="15" customHeight="1" x14ac:dyDescent="0.35">
      <c r="A239" s="96" t="s">
        <v>93</v>
      </c>
      <c r="B239" s="97">
        <v>2018</v>
      </c>
      <c r="C239" s="43">
        <v>3.51</v>
      </c>
      <c r="D239" s="97" t="s">
        <v>22</v>
      </c>
      <c r="E239" s="43">
        <v>90.9</v>
      </c>
      <c r="F239" s="42">
        <v>1.45</v>
      </c>
    </row>
    <row r="240" spans="1:6" ht="15" customHeight="1" x14ac:dyDescent="0.35">
      <c r="A240" s="93" t="s">
        <v>93</v>
      </c>
      <c r="B240" s="94">
        <v>2019</v>
      </c>
      <c r="C240" s="99">
        <v>3.43</v>
      </c>
      <c r="D240" s="94" t="s">
        <v>22</v>
      </c>
      <c r="E240" s="99">
        <v>88.9</v>
      </c>
      <c r="F240" s="95">
        <v>-2.2799999999999998</v>
      </c>
    </row>
    <row r="241" spans="1:6" ht="15" customHeight="1" x14ac:dyDescent="0.35">
      <c r="A241" s="96" t="s">
        <v>93</v>
      </c>
      <c r="B241" s="97">
        <v>2020</v>
      </c>
      <c r="C241" s="43">
        <v>3.25</v>
      </c>
      <c r="D241" s="97" t="s">
        <v>22</v>
      </c>
      <c r="E241" s="43">
        <v>84.2</v>
      </c>
      <c r="F241" s="42">
        <v>-5.25</v>
      </c>
    </row>
    <row r="242" spans="1:6" ht="15" customHeight="1" x14ac:dyDescent="0.35">
      <c r="A242" s="93" t="s">
        <v>93</v>
      </c>
      <c r="B242" s="94">
        <v>2021</v>
      </c>
      <c r="C242" s="99">
        <v>3.35</v>
      </c>
      <c r="D242" s="94" t="s">
        <v>22</v>
      </c>
      <c r="E242" s="99">
        <v>86.8</v>
      </c>
      <c r="F242" s="95">
        <v>3.08</v>
      </c>
    </row>
    <row r="243" spans="1:6" ht="15" customHeight="1" x14ac:dyDescent="0.35">
      <c r="A243" s="96" t="s">
        <v>93</v>
      </c>
      <c r="B243" s="97">
        <v>2022</v>
      </c>
      <c r="C243" s="43">
        <v>3.38</v>
      </c>
      <c r="D243" s="97" t="s">
        <v>22</v>
      </c>
      <c r="E243" s="43">
        <v>87.6</v>
      </c>
      <c r="F243" s="42">
        <v>0.9</v>
      </c>
    </row>
    <row r="244" spans="1:6" ht="15" customHeight="1" x14ac:dyDescent="0.35">
      <c r="A244" s="93" t="s">
        <v>93</v>
      </c>
      <c r="B244" s="94">
        <v>2023</v>
      </c>
      <c r="C244" s="99">
        <v>3.35</v>
      </c>
      <c r="D244" s="94" t="s">
        <v>22</v>
      </c>
      <c r="E244" s="99">
        <v>86.8</v>
      </c>
      <c r="F244" s="95">
        <v>-0.89</v>
      </c>
    </row>
    <row r="245" spans="1:6" ht="15" customHeight="1" x14ac:dyDescent="0.35">
      <c r="A245" s="96" t="s">
        <v>221</v>
      </c>
      <c r="B245" s="97">
        <v>2015</v>
      </c>
      <c r="C245" s="43">
        <v>1777</v>
      </c>
      <c r="D245" s="97" t="s">
        <v>20</v>
      </c>
      <c r="E245" s="43">
        <v>100</v>
      </c>
      <c r="F245" s="42"/>
    </row>
    <row r="246" spans="1:6" ht="15" customHeight="1" x14ac:dyDescent="0.35">
      <c r="A246" s="93" t="s">
        <v>221</v>
      </c>
      <c r="B246" s="94">
        <v>2016</v>
      </c>
      <c r="C246" s="99">
        <v>940.71</v>
      </c>
      <c r="D246" s="94" t="s">
        <v>20</v>
      </c>
      <c r="E246" s="99">
        <v>52.9</v>
      </c>
      <c r="F246" s="95">
        <v>-47.06</v>
      </c>
    </row>
    <row r="247" spans="1:6" ht="15" customHeight="1" x14ac:dyDescent="0.35">
      <c r="A247" s="96" t="s">
        <v>221</v>
      </c>
      <c r="B247" s="97">
        <v>2017</v>
      </c>
      <c r="C247" s="43">
        <v>951.96</v>
      </c>
      <c r="D247" s="97" t="s">
        <v>20</v>
      </c>
      <c r="E247" s="43">
        <v>53.6</v>
      </c>
      <c r="F247" s="42">
        <v>1.2</v>
      </c>
    </row>
    <row r="248" spans="1:6" ht="15" customHeight="1" x14ac:dyDescent="0.35">
      <c r="A248" s="93" t="s">
        <v>221</v>
      </c>
      <c r="B248" s="94">
        <v>2018</v>
      </c>
      <c r="C248" s="99">
        <v>1200.18</v>
      </c>
      <c r="D248" s="94" t="s">
        <v>20</v>
      </c>
      <c r="E248" s="99">
        <v>67.5</v>
      </c>
      <c r="F248" s="95">
        <v>26.07</v>
      </c>
    </row>
    <row r="249" spans="1:6" ht="15" customHeight="1" x14ac:dyDescent="0.35">
      <c r="A249" s="96" t="s">
        <v>221</v>
      </c>
      <c r="B249" s="97">
        <v>2019</v>
      </c>
      <c r="C249" s="43">
        <v>1445.66</v>
      </c>
      <c r="D249" s="97" t="s">
        <v>20</v>
      </c>
      <c r="E249" s="43">
        <v>81.400000000000006</v>
      </c>
      <c r="F249" s="42">
        <v>20.45</v>
      </c>
    </row>
    <row r="250" spans="1:6" ht="15" customHeight="1" x14ac:dyDescent="0.35">
      <c r="A250" s="93" t="s">
        <v>221</v>
      </c>
      <c r="B250" s="94">
        <v>2020</v>
      </c>
      <c r="C250" s="99">
        <v>1027.6199999999999</v>
      </c>
      <c r="D250" s="94" t="s">
        <v>20</v>
      </c>
      <c r="E250" s="99">
        <v>57.8</v>
      </c>
      <c r="F250" s="95">
        <v>-28.92</v>
      </c>
    </row>
    <row r="251" spans="1:6" ht="15" customHeight="1" x14ac:dyDescent="0.35">
      <c r="A251" s="96" t="s">
        <v>221</v>
      </c>
      <c r="B251" s="97">
        <v>2021</v>
      </c>
      <c r="C251" s="43">
        <v>1235.21</v>
      </c>
      <c r="D251" s="97" t="s">
        <v>20</v>
      </c>
      <c r="E251" s="43">
        <v>69.5</v>
      </c>
      <c r="F251" s="42">
        <v>20.2</v>
      </c>
    </row>
    <row r="252" spans="1:6" ht="15" customHeight="1" x14ac:dyDescent="0.35">
      <c r="A252" s="93" t="s">
        <v>221</v>
      </c>
      <c r="B252" s="94">
        <v>2022</v>
      </c>
      <c r="C252" s="99">
        <v>1283.8499999999999</v>
      </c>
      <c r="D252" s="94" t="s">
        <v>20</v>
      </c>
      <c r="E252" s="99">
        <v>72.2</v>
      </c>
      <c r="F252" s="95">
        <v>3.94</v>
      </c>
    </row>
    <row r="253" spans="1:6" ht="15" customHeight="1" x14ac:dyDescent="0.35">
      <c r="A253" s="96" t="s">
        <v>221</v>
      </c>
      <c r="B253" s="97">
        <v>2023</v>
      </c>
      <c r="C253" s="43">
        <v>1570.53</v>
      </c>
      <c r="D253" s="97" t="s">
        <v>20</v>
      </c>
      <c r="E253" s="43">
        <v>88.4</v>
      </c>
      <c r="F253" s="42">
        <v>22.33</v>
      </c>
    </row>
    <row r="254" spans="1:6" ht="15" customHeight="1" x14ac:dyDescent="0.35">
      <c r="A254" s="93" t="s">
        <v>94</v>
      </c>
      <c r="B254" s="94">
        <v>2015</v>
      </c>
      <c r="C254" s="99">
        <v>70.44</v>
      </c>
      <c r="D254" s="94" t="s">
        <v>22</v>
      </c>
      <c r="E254" s="99">
        <v>100</v>
      </c>
      <c r="F254" s="95"/>
    </row>
    <row r="255" spans="1:6" ht="15" customHeight="1" x14ac:dyDescent="0.35">
      <c r="A255" s="96" t="s">
        <v>94</v>
      </c>
      <c r="B255" s="97">
        <v>2016</v>
      </c>
      <c r="C255" s="43">
        <v>74.42</v>
      </c>
      <c r="D255" s="97" t="s">
        <v>22</v>
      </c>
      <c r="E255" s="43">
        <v>105.7</v>
      </c>
      <c r="F255" s="42">
        <v>5.65</v>
      </c>
    </row>
    <row r="256" spans="1:6" ht="15" customHeight="1" x14ac:dyDescent="0.35">
      <c r="A256" s="93" t="s">
        <v>94</v>
      </c>
      <c r="B256" s="94">
        <v>2017</v>
      </c>
      <c r="C256" s="99">
        <v>73.540000000000006</v>
      </c>
      <c r="D256" s="94" t="s">
        <v>22</v>
      </c>
      <c r="E256" s="99">
        <v>104.4</v>
      </c>
      <c r="F256" s="95">
        <v>-1.18</v>
      </c>
    </row>
    <row r="257" spans="1:6" ht="15" customHeight="1" x14ac:dyDescent="0.35">
      <c r="A257" s="96" t="s">
        <v>94</v>
      </c>
      <c r="B257" s="97">
        <v>2018</v>
      </c>
      <c r="C257" s="43">
        <v>70.739999999999995</v>
      </c>
      <c r="D257" s="97" t="s">
        <v>22</v>
      </c>
      <c r="E257" s="43">
        <v>100.4</v>
      </c>
      <c r="F257" s="42">
        <v>-3.81</v>
      </c>
    </row>
    <row r="258" spans="1:6" ht="15" customHeight="1" x14ac:dyDescent="0.35">
      <c r="A258" s="93" t="s">
        <v>94</v>
      </c>
      <c r="B258" s="94">
        <v>2019</v>
      </c>
      <c r="C258" s="99">
        <v>68.77</v>
      </c>
      <c r="D258" s="94" t="s">
        <v>22</v>
      </c>
      <c r="E258" s="99">
        <v>97.6</v>
      </c>
      <c r="F258" s="95">
        <v>-2.78</v>
      </c>
    </row>
    <row r="259" spans="1:6" ht="15" customHeight="1" x14ac:dyDescent="0.35">
      <c r="A259" s="96" t="s">
        <v>94</v>
      </c>
      <c r="B259" s="97">
        <v>2020</v>
      </c>
      <c r="C259" s="43">
        <v>66.59</v>
      </c>
      <c r="D259" s="97" t="s">
        <v>22</v>
      </c>
      <c r="E259" s="43">
        <v>94.5</v>
      </c>
      <c r="F259" s="42">
        <v>-3.17</v>
      </c>
    </row>
    <row r="260" spans="1:6" ht="15" customHeight="1" x14ac:dyDescent="0.35">
      <c r="A260" s="93" t="s">
        <v>94</v>
      </c>
      <c r="B260" s="94">
        <v>2021</v>
      </c>
      <c r="C260" s="99">
        <v>73.319999999999993</v>
      </c>
      <c r="D260" s="94" t="s">
        <v>22</v>
      </c>
      <c r="E260" s="99">
        <v>104.1</v>
      </c>
      <c r="F260" s="95">
        <v>10.11</v>
      </c>
    </row>
    <row r="261" spans="1:6" ht="15" customHeight="1" x14ac:dyDescent="0.35">
      <c r="A261" s="96" t="s">
        <v>94</v>
      </c>
      <c r="B261" s="97">
        <v>2022</v>
      </c>
      <c r="C261" s="43">
        <v>71.92</v>
      </c>
      <c r="D261" s="97" t="s">
        <v>22</v>
      </c>
      <c r="E261" s="43">
        <v>102.1</v>
      </c>
      <c r="F261" s="42">
        <v>-1.91</v>
      </c>
    </row>
    <row r="262" spans="1:6" ht="15" customHeight="1" x14ac:dyDescent="0.35">
      <c r="A262" s="93" t="s">
        <v>94</v>
      </c>
      <c r="B262" s="94">
        <v>2023</v>
      </c>
      <c r="C262" s="99">
        <v>68.47</v>
      </c>
      <c r="D262" s="94" t="s">
        <v>22</v>
      </c>
      <c r="E262" s="99">
        <v>97.2</v>
      </c>
      <c r="F262" s="95">
        <v>-4.8</v>
      </c>
    </row>
    <row r="263" spans="1:6" ht="15" customHeight="1" x14ac:dyDescent="0.35">
      <c r="A263" s="96" t="s">
        <v>95</v>
      </c>
      <c r="B263" s="97">
        <v>2015</v>
      </c>
      <c r="C263" s="43">
        <v>1192.92</v>
      </c>
      <c r="D263" s="97" t="s">
        <v>20</v>
      </c>
      <c r="E263" s="43">
        <v>100</v>
      </c>
      <c r="F263" s="42"/>
    </row>
    <row r="264" spans="1:6" ht="15" customHeight="1" x14ac:dyDescent="0.35">
      <c r="A264" s="93" t="s">
        <v>95</v>
      </c>
      <c r="B264" s="94">
        <v>2016</v>
      </c>
      <c r="C264" s="99">
        <v>1194.45</v>
      </c>
      <c r="D264" s="94" t="s">
        <v>20</v>
      </c>
      <c r="E264" s="99">
        <v>100.1</v>
      </c>
      <c r="F264" s="95">
        <v>0.13</v>
      </c>
    </row>
    <row r="265" spans="1:6" ht="15" customHeight="1" x14ac:dyDescent="0.35">
      <c r="A265" s="96" t="s">
        <v>95</v>
      </c>
      <c r="B265" s="97">
        <v>2017</v>
      </c>
      <c r="C265" s="43">
        <v>1182.19</v>
      </c>
      <c r="D265" s="97" t="s">
        <v>20</v>
      </c>
      <c r="E265" s="43">
        <v>99.1</v>
      </c>
      <c r="F265" s="42">
        <v>-1.03</v>
      </c>
    </row>
    <row r="266" spans="1:6" ht="15" customHeight="1" x14ac:dyDescent="0.35">
      <c r="A266" s="93" t="s">
        <v>95</v>
      </c>
      <c r="B266" s="94">
        <v>2018</v>
      </c>
      <c r="C266" s="99">
        <v>1143.5999999999999</v>
      </c>
      <c r="D266" s="94" t="s">
        <v>20</v>
      </c>
      <c r="E266" s="99">
        <v>95.9</v>
      </c>
      <c r="F266" s="95">
        <v>-3.26</v>
      </c>
    </row>
    <row r="267" spans="1:6" ht="15" customHeight="1" x14ac:dyDescent="0.35">
      <c r="A267" s="96" t="s">
        <v>95</v>
      </c>
      <c r="B267" s="97">
        <v>2019</v>
      </c>
      <c r="C267" s="43">
        <v>1108.04</v>
      </c>
      <c r="D267" s="97" t="s">
        <v>20</v>
      </c>
      <c r="E267" s="43">
        <v>92.9</v>
      </c>
      <c r="F267" s="42">
        <v>-3.11</v>
      </c>
    </row>
    <row r="268" spans="1:6" ht="15" customHeight="1" x14ac:dyDescent="0.35">
      <c r="A268" s="93" t="s">
        <v>95</v>
      </c>
      <c r="B268" s="94">
        <v>2020</v>
      </c>
      <c r="C268" s="99">
        <v>1051.6400000000001</v>
      </c>
      <c r="D268" s="94" t="s">
        <v>20</v>
      </c>
      <c r="E268" s="99">
        <v>88.2</v>
      </c>
      <c r="F268" s="95">
        <v>-5.09</v>
      </c>
    </row>
    <row r="269" spans="1:6" ht="15" customHeight="1" x14ac:dyDescent="0.35">
      <c r="A269" s="96" t="s">
        <v>95</v>
      </c>
      <c r="B269" s="97">
        <v>2021</v>
      </c>
      <c r="C269" s="43">
        <v>1103.6300000000001</v>
      </c>
      <c r="D269" s="97" t="s">
        <v>20</v>
      </c>
      <c r="E269" s="43">
        <v>92.5</v>
      </c>
      <c r="F269" s="42">
        <v>4.9400000000000004</v>
      </c>
    </row>
    <row r="270" spans="1:6" ht="15" customHeight="1" x14ac:dyDescent="0.35">
      <c r="A270" s="93" t="s">
        <v>95</v>
      </c>
      <c r="B270" s="94">
        <v>2022</v>
      </c>
      <c r="C270" s="99">
        <v>1078.93</v>
      </c>
      <c r="D270" s="94" t="s">
        <v>20</v>
      </c>
      <c r="E270" s="99">
        <v>90.4</v>
      </c>
      <c r="F270" s="95">
        <v>-2.2400000000000002</v>
      </c>
    </row>
    <row r="271" spans="1:6" ht="15" customHeight="1" x14ac:dyDescent="0.35">
      <c r="A271" s="96" t="s">
        <v>95</v>
      </c>
      <c r="B271" s="97">
        <v>2023</v>
      </c>
      <c r="C271" s="43">
        <v>1034.23</v>
      </c>
      <c r="D271" s="97" t="s">
        <v>20</v>
      </c>
      <c r="E271" s="43">
        <v>86.7</v>
      </c>
      <c r="F271" s="42">
        <v>-4.1399999999999997</v>
      </c>
    </row>
    <row r="272" spans="1:6" ht="15" customHeight="1" x14ac:dyDescent="0.35">
      <c r="A272" s="93" t="s">
        <v>96</v>
      </c>
      <c r="B272" s="94">
        <v>2015</v>
      </c>
      <c r="C272" s="99">
        <v>262.7</v>
      </c>
      <c r="D272" s="94" t="s">
        <v>20</v>
      </c>
      <c r="E272" s="99">
        <v>100</v>
      </c>
      <c r="F272" s="95"/>
    </row>
    <row r="273" spans="1:6" ht="15" customHeight="1" x14ac:dyDescent="0.35">
      <c r="A273" s="96" t="s">
        <v>96</v>
      </c>
      <c r="B273" s="97">
        <v>2016</v>
      </c>
      <c r="C273" s="43">
        <v>281.14999999999998</v>
      </c>
      <c r="D273" s="97" t="s">
        <v>20</v>
      </c>
      <c r="E273" s="43">
        <v>107</v>
      </c>
      <c r="F273" s="42">
        <v>7.02</v>
      </c>
    </row>
    <row r="274" spans="1:6" ht="15" customHeight="1" x14ac:dyDescent="0.35">
      <c r="A274" s="93" t="s">
        <v>96</v>
      </c>
      <c r="B274" s="94">
        <v>2017</v>
      </c>
      <c r="C274" s="99">
        <v>301.83999999999997</v>
      </c>
      <c r="D274" s="94" t="s">
        <v>20</v>
      </c>
      <c r="E274" s="99">
        <v>114.9</v>
      </c>
      <c r="F274" s="95">
        <v>7.36</v>
      </c>
    </row>
    <row r="275" spans="1:6" ht="15" customHeight="1" x14ac:dyDescent="0.35">
      <c r="A275" s="96" t="s">
        <v>96</v>
      </c>
      <c r="B275" s="97">
        <v>2018</v>
      </c>
      <c r="C275" s="43">
        <v>302.43</v>
      </c>
      <c r="D275" s="97" t="s">
        <v>20</v>
      </c>
      <c r="E275" s="43">
        <v>115.1</v>
      </c>
      <c r="F275" s="42">
        <v>0.2</v>
      </c>
    </row>
    <row r="276" spans="1:6" ht="15" customHeight="1" x14ac:dyDescent="0.35">
      <c r="A276" s="93" t="s">
        <v>96</v>
      </c>
      <c r="B276" s="94">
        <v>2019</v>
      </c>
      <c r="C276" s="99">
        <v>288.23</v>
      </c>
      <c r="D276" s="94" t="s">
        <v>20</v>
      </c>
      <c r="E276" s="99">
        <v>109.7</v>
      </c>
      <c r="F276" s="95">
        <v>-4.7</v>
      </c>
    </row>
    <row r="277" spans="1:6" ht="15" customHeight="1" x14ac:dyDescent="0.35">
      <c r="A277" s="96" t="s">
        <v>96</v>
      </c>
      <c r="B277" s="97">
        <v>2020</v>
      </c>
      <c r="C277" s="43">
        <v>291.93</v>
      </c>
      <c r="D277" s="97" t="s">
        <v>20</v>
      </c>
      <c r="E277" s="43">
        <v>111.1</v>
      </c>
      <c r="F277" s="42">
        <v>1.28</v>
      </c>
    </row>
    <row r="278" spans="1:6" ht="15" customHeight="1" x14ac:dyDescent="0.35">
      <c r="A278" s="93" t="s">
        <v>96</v>
      </c>
      <c r="B278" s="94">
        <v>2021</v>
      </c>
      <c r="C278" s="99">
        <v>320.35000000000002</v>
      </c>
      <c r="D278" s="94" t="s">
        <v>20</v>
      </c>
      <c r="E278" s="99">
        <v>121.9</v>
      </c>
      <c r="F278" s="95">
        <v>9.74</v>
      </c>
    </row>
    <row r="279" spans="1:6" ht="15" customHeight="1" x14ac:dyDescent="0.35">
      <c r="A279" s="96" t="s">
        <v>96</v>
      </c>
      <c r="B279" s="97">
        <v>2022</v>
      </c>
      <c r="C279" s="43">
        <v>319.33999999999997</v>
      </c>
      <c r="D279" s="97" t="s">
        <v>20</v>
      </c>
      <c r="E279" s="43">
        <v>121.6</v>
      </c>
      <c r="F279" s="42">
        <v>-0.32</v>
      </c>
    </row>
    <row r="280" spans="1:6" ht="15" customHeight="1" x14ac:dyDescent="0.35">
      <c r="A280" s="93" t="s">
        <v>96</v>
      </c>
      <c r="B280" s="94">
        <v>2023</v>
      </c>
      <c r="C280" s="99">
        <v>338.16</v>
      </c>
      <c r="D280" s="94" t="s">
        <v>20</v>
      </c>
      <c r="E280" s="99">
        <v>128.69999999999999</v>
      </c>
      <c r="F280" s="95">
        <v>5.89</v>
      </c>
    </row>
    <row r="281" spans="1:6" ht="15" customHeight="1" x14ac:dyDescent="0.35">
      <c r="A281" s="96" t="s">
        <v>97</v>
      </c>
      <c r="B281" s="97">
        <v>2015</v>
      </c>
      <c r="C281" s="43">
        <v>647.42999999999995</v>
      </c>
      <c r="D281" s="97" t="s">
        <v>28</v>
      </c>
      <c r="E281" s="43">
        <v>100</v>
      </c>
      <c r="F281" s="42"/>
    </row>
    <row r="282" spans="1:6" ht="15" customHeight="1" x14ac:dyDescent="0.35">
      <c r="A282" s="93" t="s">
        <v>97</v>
      </c>
      <c r="B282" s="94">
        <v>2016</v>
      </c>
      <c r="C282" s="99">
        <v>656.92</v>
      </c>
      <c r="D282" s="94" t="s">
        <v>28</v>
      </c>
      <c r="E282" s="99">
        <v>101.5</v>
      </c>
      <c r="F282" s="95">
        <v>1.47</v>
      </c>
    </row>
    <row r="283" spans="1:6" ht="15" customHeight="1" x14ac:dyDescent="0.35">
      <c r="A283" s="96" t="s">
        <v>97</v>
      </c>
      <c r="B283" s="97">
        <v>2017</v>
      </c>
      <c r="C283" s="43">
        <v>683.3</v>
      </c>
      <c r="D283" s="97" t="s">
        <v>28</v>
      </c>
      <c r="E283" s="43">
        <v>105.5</v>
      </c>
      <c r="F283" s="42">
        <v>4.0199999999999996</v>
      </c>
    </row>
    <row r="284" spans="1:6" ht="15" customHeight="1" x14ac:dyDescent="0.35">
      <c r="A284" s="93" t="s">
        <v>97</v>
      </c>
      <c r="B284" s="94">
        <v>2018</v>
      </c>
      <c r="C284" s="99">
        <v>708.54</v>
      </c>
      <c r="D284" s="94" t="s">
        <v>28</v>
      </c>
      <c r="E284" s="99">
        <v>109.4</v>
      </c>
      <c r="F284" s="95">
        <v>3.69</v>
      </c>
    </row>
    <row r="285" spans="1:6" ht="15" customHeight="1" x14ac:dyDescent="0.35">
      <c r="A285" s="96" t="s">
        <v>97</v>
      </c>
      <c r="B285" s="97">
        <v>2019</v>
      </c>
      <c r="C285" s="43">
        <v>684.33</v>
      </c>
      <c r="D285" s="97" t="s">
        <v>28</v>
      </c>
      <c r="E285" s="43">
        <v>105.7</v>
      </c>
      <c r="F285" s="42">
        <v>-3.42</v>
      </c>
    </row>
    <row r="286" spans="1:6" ht="15" customHeight="1" x14ac:dyDescent="0.35">
      <c r="A286" s="93" t="s">
        <v>97</v>
      </c>
      <c r="B286" s="94">
        <v>2020</v>
      </c>
      <c r="C286" s="99">
        <v>642.24</v>
      </c>
      <c r="D286" s="94" t="s">
        <v>28</v>
      </c>
      <c r="E286" s="99">
        <v>99.2</v>
      </c>
      <c r="F286" s="95">
        <v>-6.15</v>
      </c>
    </row>
    <row r="287" spans="1:6" ht="15" customHeight="1" x14ac:dyDescent="0.35">
      <c r="A287" s="96" t="s">
        <v>97</v>
      </c>
      <c r="B287" s="97">
        <v>2021</v>
      </c>
      <c r="C287" s="43">
        <v>672.77</v>
      </c>
      <c r="D287" s="97" t="s">
        <v>28</v>
      </c>
      <c r="E287" s="43">
        <v>103.9</v>
      </c>
      <c r="F287" s="42">
        <v>4.75</v>
      </c>
    </row>
    <row r="288" spans="1:6" ht="15" customHeight="1" x14ac:dyDescent="0.35">
      <c r="A288" s="93" t="s">
        <v>97</v>
      </c>
      <c r="B288" s="94">
        <v>2022</v>
      </c>
      <c r="C288" s="99">
        <v>658.48</v>
      </c>
      <c r="D288" s="94" t="s">
        <v>28</v>
      </c>
      <c r="E288" s="99">
        <v>101.7</v>
      </c>
      <c r="F288" s="95">
        <v>-2.12</v>
      </c>
    </row>
    <row r="289" spans="1:6" ht="15" customHeight="1" x14ac:dyDescent="0.35">
      <c r="A289" s="96" t="s">
        <v>97</v>
      </c>
      <c r="B289" s="97">
        <v>2023</v>
      </c>
      <c r="C289" s="43">
        <v>642.02</v>
      </c>
      <c r="D289" s="97" t="s">
        <v>28</v>
      </c>
      <c r="E289" s="43">
        <v>99.2</v>
      </c>
      <c r="F289" s="42">
        <v>-2.5</v>
      </c>
    </row>
    <row r="290" spans="1:6" ht="15" customHeight="1" x14ac:dyDescent="0.35">
      <c r="A290" s="93" t="s">
        <v>98</v>
      </c>
      <c r="B290" s="94">
        <v>2015</v>
      </c>
      <c r="C290" s="99">
        <v>8.93</v>
      </c>
      <c r="D290" s="94" t="s">
        <v>22</v>
      </c>
      <c r="E290" s="99">
        <v>100</v>
      </c>
      <c r="F290" s="95"/>
    </row>
    <row r="291" spans="1:6" ht="15" customHeight="1" x14ac:dyDescent="0.35">
      <c r="A291" s="96" t="s">
        <v>98</v>
      </c>
      <c r="B291" s="97">
        <v>2016</v>
      </c>
      <c r="C291" s="43">
        <v>9.64</v>
      </c>
      <c r="D291" s="97" t="s">
        <v>22</v>
      </c>
      <c r="E291" s="43">
        <v>108</v>
      </c>
      <c r="F291" s="42">
        <v>7.95</v>
      </c>
    </row>
    <row r="292" spans="1:6" ht="15" customHeight="1" x14ac:dyDescent="0.35">
      <c r="A292" s="93" t="s">
        <v>98</v>
      </c>
      <c r="B292" s="94">
        <v>2017</v>
      </c>
      <c r="C292" s="99">
        <v>9.6</v>
      </c>
      <c r="D292" s="94" t="s">
        <v>22</v>
      </c>
      <c r="E292" s="99">
        <v>107.5</v>
      </c>
      <c r="F292" s="95">
        <v>-0.41</v>
      </c>
    </row>
    <row r="293" spans="1:6" ht="15" customHeight="1" x14ac:dyDescent="0.35">
      <c r="A293" s="96" t="s">
        <v>98</v>
      </c>
      <c r="B293" s="97">
        <v>2018</v>
      </c>
      <c r="C293" s="43">
        <v>10.06</v>
      </c>
      <c r="D293" s="97" t="s">
        <v>22</v>
      </c>
      <c r="E293" s="43">
        <v>112.7</v>
      </c>
      <c r="F293" s="42">
        <v>4.79</v>
      </c>
    </row>
    <row r="294" spans="1:6" ht="15" customHeight="1" x14ac:dyDescent="0.35">
      <c r="A294" s="93" t="s">
        <v>98</v>
      </c>
      <c r="B294" s="94">
        <v>2019</v>
      </c>
      <c r="C294" s="99">
        <v>9.9</v>
      </c>
      <c r="D294" s="94" t="s">
        <v>22</v>
      </c>
      <c r="E294" s="99">
        <v>110.9</v>
      </c>
      <c r="F294" s="95">
        <v>-1.59</v>
      </c>
    </row>
    <row r="295" spans="1:6" ht="15" customHeight="1" x14ac:dyDescent="0.35">
      <c r="A295" s="96" t="s">
        <v>98</v>
      </c>
      <c r="B295" s="97">
        <v>2020</v>
      </c>
      <c r="C295" s="43">
        <v>9.31</v>
      </c>
      <c r="D295" s="97" t="s">
        <v>22</v>
      </c>
      <c r="E295" s="43">
        <v>104.3</v>
      </c>
      <c r="F295" s="42">
        <v>-5.96</v>
      </c>
    </row>
    <row r="296" spans="1:6" ht="15" customHeight="1" x14ac:dyDescent="0.35">
      <c r="A296" s="93" t="s">
        <v>98</v>
      </c>
      <c r="B296" s="94">
        <v>2021</v>
      </c>
      <c r="C296" s="99">
        <v>17.97</v>
      </c>
      <c r="D296" s="94" t="s">
        <v>22</v>
      </c>
      <c r="E296" s="99">
        <v>201.2</v>
      </c>
      <c r="F296" s="95">
        <v>93.02</v>
      </c>
    </row>
    <row r="297" spans="1:6" ht="15" customHeight="1" x14ac:dyDescent="0.35">
      <c r="A297" s="96" t="s">
        <v>98</v>
      </c>
      <c r="B297" s="97">
        <v>2022</v>
      </c>
      <c r="C297" s="43">
        <v>17.309999999999999</v>
      </c>
      <c r="D297" s="97" t="s">
        <v>22</v>
      </c>
      <c r="E297" s="43">
        <v>193.8</v>
      </c>
      <c r="F297" s="42">
        <v>-3.67</v>
      </c>
    </row>
    <row r="298" spans="1:6" ht="15" customHeight="1" x14ac:dyDescent="0.35">
      <c r="A298" s="93" t="s">
        <v>98</v>
      </c>
      <c r="B298" s="94">
        <v>2023</v>
      </c>
      <c r="C298" s="99">
        <v>17.239999999999998</v>
      </c>
      <c r="D298" s="94" t="s">
        <v>22</v>
      </c>
      <c r="E298" s="99">
        <v>193.1</v>
      </c>
      <c r="F298" s="95">
        <v>-0.4</v>
      </c>
    </row>
    <row r="299" spans="1:6" ht="15" customHeight="1" x14ac:dyDescent="0.35">
      <c r="A299" s="96" t="s">
        <v>99</v>
      </c>
      <c r="B299" s="97">
        <v>2015</v>
      </c>
      <c r="C299" s="43">
        <v>9.9700000000000006</v>
      </c>
      <c r="D299" s="97" t="s">
        <v>22</v>
      </c>
      <c r="E299" s="43">
        <v>100</v>
      </c>
      <c r="F299" s="42"/>
    </row>
    <row r="300" spans="1:6" ht="15" customHeight="1" x14ac:dyDescent="0.35">
      <c r="A300" s="93" t="s">
        <v>99</v>
      </c>
      <c r="B300" s="94">
        <v>2016</v>
      </c>
      <c r="C300" s="99">
        <v>9.65</v>
      </c>
      <c r="D300" s="94" t="s">
        <v>22</v>
      </c>
      <c r="E300" s="99">
        <v>96.8</v>
      </c>
      <c r="F300" s="95">
        <v>-3.21</v>
      </c>
    </row>
    <row r="301" spans="1:6" ht="15" customHeight="1" x14ac:dyDescent="0.35">
      <c r="A301" s="96" t="s">
        <v>99</v>
      </c>
      <c r="B301" s="97">
        <v>2017</v>
      </c>
      <c r="C301" s="43">
        <v>9.83</v>
      </c>
      <c r="D301" s="97" t="s">
        <v>22</v>
      </c>
      <c r="E301" s="43">
        <v>98.6</v>
      </c>
      <c r="F301" s="42">
        <v>1.87</v>
      </c>
    </row>
    <row r="302" spans="1:6" ht="15" customHeight="1" x14ac:dyDescent="0.35">
      <c r="A302" s="93" t="s">
        <v>99</v>
      </c>
      <c r="B302" s="94">
        <v>2018</v>
      </c>
      <c r="C302" s="99">
        <v>10.11</v>
      </c>
      <c r="D302" s="94" t="s">
        <v>22</v>
      </c>
      <c r="E302" s="99">
        <v>101.4</v>
      </c>
      <c r="F302" s="95">
        <v>2.85</v>
      </c>
    </row>
    <row r="303" spans="1:6" ht="15" customHeight="1" x14ac:dyDescent="0.35">
      <c r="A303" s="96" t="s">
        <v>99</v>
      </c>
      <c r="B303" s="97">
        <v>2019</v>
      </c>
      <c r="C303" s="43">
        <v>10.29</v>
      </c>
      <c r="D303" s="97" t="s">
        <v>22</v>
      </c>
      <c r="E303" s="43">
        <v>103.2</v>
      </c>
      <c r="F303" s="42">
        <v>1.78</v>
      </c>
    </row>
    <row r="304" spans="1:6" ht="15" customHeight="1" x14ac:dyDescent="0.35">
      <c r="A304" s="93" t="s">
        <v>99</v>
      </c>
      <c r="B304" s="94">
        <v>2020</v>
      </c>
      <c r="C304" s="99">
        <v>8.6199999999999992</v>
      </c>
      <c r="D304" s="94" t="s">
        <v>22</v>
      </c>
      <c r="E304" s="99">
        <v>86.5</v>
      </c>
      <c r="F304" s="95">
        <v>-16.23</v>
      </c>
    </row>
    <row r="305" spans="1:6" ht="15" customHeight="1" x14ac:dyDescent="0.35">
      <c r="A305" s="96" t="s">
        <v>99</v>
      </c>
      <c r="B305" s="97">
        <v>2021</v>
      </c>
      <c r="C305" s="43">
        <v>9.25</v>
      </c>
      <c r="D305" s="97" t="s">
        <v>22</v>
      </c>
      <c r="E305" s="43">
        <v>92.8</v>
      </c>
      <c r="F305" s="42">
        <v>7.31</v>
      </c>
    </row>
    <row r="306" spans="1:6" ht="15" customHeight="1" x14ac:dyDescent="0.35">
      <c r="A306" s="93" t="s">
        <v>99</v>
      </c>
      <c r="B306" s="94">
        <v>2022</v>
      </c>
      <c r="C306" s="99">
        <v>8.11</v>
      </c>
      <c r="D306" s="94" t="s">
        <v>22</v>
      </c>
      <c r="E306" s="99">
        <v>81.3</v>
      </c>
      <c r="F306" s="95">
        <v>-12.32</v>
      </c>
    </row>
    <row r="307" spans="1:6" ht="15" customHeight="1" x14ac:dyDescent="0.35">
      <c r="A307" s="96" t="s">
        <v>99</v>
      </c>
      <c r="B307" s="97">
        <v>2023</v>
      </c>
      <c r="C307" s="43">
        <v>7.78</v>
      </c>
      <c r="D307" s="97" t="s">
        <v>22</v>
      </c>
      <c r="E307" s="43">
        <v>78</v>
      </c>
      <c r="F307" s="42">
        <v>-4.07</v>
      </c>
    </row>
    <row r="308" spans="1:6" ht="15" customHeight="1" x14ac:dyDescent="0.35">
      <c r="A308" s="93" t="s">
        <v>100</v>
      </c>
      <c r="B308" s="94">
        <v>2015</v>
      </c>
      <c r="C308" s="99">
        <v>5468.96</v>
      </c>
      <c r="D308" s="94" t="s">
        <v>28</v>
      </c>
      <c r="E308" s="99">
        <v>100</v>
      </c>
      <c r="F308" s="95"/>
    </row>
    <row r="309" spans="1:6" ht="15" customHeight="1" x14ac:dyDescent="0.35">
      <c r="A309" s="96" t="s">
        <v>100</v>
      </c>
      <c r="B309" s="97">
        <v>2016</v>
      </c>
      <c r="C309" s="43">
        <v>5505.43</v>
      </c>
      <c r="D309" s="97" t="s">
        <v>28</v>
      </c>
      <c r="E309" s="43">
        <v>100.7</v>
      </c>
      <c r="F309" s="42">
        <v>0.67</v>
      </c>
    </row>
    <row r="310" spans="1:6" ht="15" customHeight="1" x14ac:dyDescent="0.35">
      <c r="A310" s="93" t="s">
        <v>100</v>
      </c>
      <c r="B310" s="94">
        <v>2017</v>
      </c>
      <c r="C310" s="99">
        <v>5459.13</v>
      </c>
      <c r="D310" s="94" t="s">
        <v>28</v>
      </c>
      <c r="E310" s="99">
        <v>99.8</v>
      </c>
      <c r="F310" s="95">
        <v>-0.84</v>
      </c>
    </row>
    <row r="311" spans="1:6" ht="15" customHeight="1" x14ac:dyDescent="0.35">
      <c r="A311" s="96" t="s">
        <v>100</v>
      </c>
      <c r="B311" s="97">
        <v>2018</v>
      </c>
      <c r="C311" s="43">
        <v>5693.3</v>
      </c>
      <c r="D311" s="97" t="s">
        <v>28</v>
      </c>
      <c r="E311" s="43">
        <v>104.1</v>
      </c>
      <c r="F311" s="42">
        <v>4.29</v>
      </c>
    </row>
    <row r="312" spans="1:6" ht="15" customHeight="1" x14ac:dyDescent="0.35">
      <c r="A312" s="93" t="s">
        <v>100</v>
      </c>
      <c r="B312" s="94">
        <v>2019</v>
      </c>
      <c r="C312" s="99">
        <v>5577.45</v>
      </c>
      <c r="D312" s="94" t="s">
        <v>28</v>
      </c>
      <c r="E312" s="99">
        <v>102</v>
      </c>
      <c r="F312" s="95">
        <v>-2.0299999999999998</v>
      </c>
    </row>
    <row r="313" spans="1:6" ht="15" customHeight="1" x14ac:dyDescent="0.35">
      <c r="A313" s="96" t="s">
        <v>100</v>
      </c>
      <c r="B313" s="97">
        <v>2020</v>
      </c>
      <c r="C313" s="43">
        <v>5022.8900000000003</v>
      </c>
      <c r="D313" s="97" t="s">
        <v>28</v>
      </c>
      <c r="E313" s="43">
        <v>91.8</v>
      </c>
      <c r="F313" s="42">
        <v>-9.94</v>
      </c>
    </row>
    <row r="314" spans="1:6" ht="15" customHeight="1" x14ac:dyDescent="0.35">
      <c r="A314" s="93" t="s">
        <v>100</v>
      </c>
      <c r="B314" s="94">
        <v>2021</v>
      </c>
      <c r="C314" s="99">
        <v>5563.7</v>
      </c>
      <c r="D314" s="94" t="s">
        <v>28</v>
      </c>
      <c r="E314" s="99">
        <v>101.7</v>
      </c>
      <c r="F314" s="95">
        <v>10.77</v>
      </c>
    </row>
    <row r="315" spans="1:6" ht="15" customHeight="1" x14ac:dyDescent="0.35">
      <c r="A315" s="96" t="s">
        <v>100</v>
      </c>
      <c r="B315" s="97">
        <v>2022</v>
      </c>
      <c r="C315" s="43">
        <v>5638.18</v>
      </c>
      <c r="D315" s="97" t="s">
        <v>28</v>
      </c>
      <c r="E315" s="43">
        <v>103.1</v>
      </c>
      <c r="F315" s="42">
        <v>1.34</v>
      </c>
    </row>
    <row r="316" spans="1:6" ht="15" customHeight="1" x14ac:dyDescent="0.35">
      <c r="A316" s="93" t="s">
        <v>100</v>
      </c>
      <c r="B316" s="94">
        <v>2023</v>
      </c>
      <c r="C316" s="99">
        <v>5434.18</v>
      </c>
      <c r="D316" s="94" t="s">
        <v>28</v>
      </c>
      <c r="E316" s="99">
        <v>99.4</v>
      </c>
      <c r="F316" s="95">
        <v>-3.62</v>
      </c>
    </row>
    <row r="317" spans="1:6" ht="15" customHeight="1" x14ac:dyDescent="0.35">
      <c r="A317" s="96" t="s">
        <v>101</v>
      </c>
      <c r="B317" s="97">
        <v>2015</v>
      </c>
      <c r="C317" s="43">
        <v>678.95</v>
      </c>
      <c r="D317" s="97" t="s">
        <v>24</v>
      </c>
      <c r="E317" s="43">
        <v>100</v>
      </c>
      <c r="F317" s="42"/>
    </row>
    <row r="318" spans="1:6" ht="15" customHeight="1" x14ac:dyDescent="0.35">
      <c r="A318" s="93" t="s">
        <v>101</v>
      </c>
      <c r="B318" s="94">
        <v>2016</v>
      </c>
      <c r="C318" s="99">
        <v>722.32</v>
      </c>
      <c r="D318" s="94" t="s">
        <v>24</v>
      </c>
      <c r="E318" s="99">
        <v>106.4</v>
      </c>
      <c r="F318" s="95">
        <v>6.39</v>
      </c>
    </row>
    <row r="319" spans="1:6" ht="15" customHeight="1" x14ac:dyDescent="0.35">
      <c r="A319" s="96" t="s">
        <v>101</v>
      </c>
      <c r="B319" s="97">
        <v>2017</v>
      </c>
      <c r="C319" s="43">
        <v>720.16</v>
      </c>
      <c r="D319" s="97" t="s">
        <v>24</v>
      </c>
      <c r="E319" s="43">
        <v>106.1</v>
      </c>
      <c r="F319" s="42">
        <v>-0.3</v>
      </c>
    </row>
    <row r="320" spans="1:6" ht="15" customHeight="1" x14ac:dyDescent="0.35">
      <c r="A320" s="93" t="s">
        <v>101</v>
      </c>
      <c r="B320" s="94">
        <v>2018</v>
      </c>
      <c r="C320" s="99">
        <v>703.37</v>
      </c>
      <c r="D320" s="94" t="s">
        <v>24</v>
      </c>
      <c r="E320" s="99">
        <v>103.6</v>
      </c>
      <c r="F320" s="95">
        <v>-2.33</v>
      </c>
    </row>
    <row r="321" spans="1:6" ht="15" customHeight="1" x14ac:dyDescent="0.35">
      <c r="A321" s="96" t="s">
        <v>101</v>
      </c>
      <c r="B321" s="97">
        <v>2019</v>
      </c>
      <c r="C321" s="43">
        <v>717.6</v>
      </c>
      <c r="D321" s="97" t="s">
        <v>24</v>
      </c>
      <c r="E321" s="43">
        <v>105.7</v>
      </c>
      <c r="F321" s="42">
        <v>2.02</v>
      </c>
    </row>
    <row r="322" spans="1:6" ht="15" customHeight="1" x14ac:dyDescent="0.35">
      <c r="A322" s="93" t="s">
        <v>101</v>
      </c>
      <c r="B322" s="94">
        <v>2020</v>
      </c>
      <c r="C322" s="99">
        <v>664.85</v>
      </c>
      <c r="D322" s="94" t="s">
        <v>24</v>
      </c>
      <c r="E322" s="99">
        <v>97.9</v>
      </c>
      <c r="F322" s="95">
        <v>-7.35</v>
      </c>
    </row>
    <row r="323" spans="1:6" ht="15" customHeight="1" x14ac:dyDescent="0.35">
      <c r="A323" s="96" t="s">
        <v>101</v>
      </c>
      <c r="B323" s="97">
        <v>2021</v>
      </c>
      <c r="C323" s="43">
        <v>676.79</v>
      </c>
      <c r="D323" s="97" t="s">
        <v>24</v>
      </c>
      <c r="E323" s="43">
        <v>99.7</v>
      </c>
      <c r="F323" s="42">
        <v>1.8</v>
      </c>
    </row>
    <row r="324" spans="1:6" ht="15" customHeight="1" x14ac:dyDescent="0.35">
      <c r="A324" s="93" t="s">
        <v>101</v>
      </c>
      <c r="B324" s="94">
        <v>2022</v>
      </c>
      <c r="C324" s="99">
        <v>708.03</v>
      </c>
      <c r="D324" s="94" t="s">
        <v>24</v>
      </c>
      <c r="E324" s="99">
        <v>104.3</v>
      </c>
      <c r="F324" s="95">
        <v>4.62</v>
      </c>
    </row>
    <row r="325" spans="1:6" ht="15" customHeight="1" x14ac:dyDescent="0.35">
      <c r="A325" s="96" t="s">
        <v>101</v>
      </c>
      <c r="B325" s="97">
        <v>2023</v>
      </c>
      <c r="C325" s="43">
        <v>731.02</v>
      </c>
      <c r="D325" s="97" t="s">
        <v>24</v>
      </c>
      <c r="E325" s="43">
        <v>107.7</v>
      </c>
      <c r="F325" s="42">
        <v>3.25</v>
      </c>
    </row>
    <row r="326" spans="1:6" ht="15" customHeight="1" x14ac:dyDescent="0.35">
      <c r="A326" s="93" t="s">
        <v>102</v>
      </c>
      <c r="B326" s="94">
        <v>2015</v>
      </c>
      <c r="C326" s="99">
        <v>196.56</v>
      </c>
      <c r="D326" s="94" t="s">
        <v>22</v>
      </c>
      <c r="E326" s="99">
        <v>100</v>
      </c>
      <c r="F326" s="95"/>
    </row>
    <row r="327" spans="1:6" ht="15" customHeight="1" x14ac:dyDescent="0.35">
      <c r="A327" s="96" t="s">
        <v>102</v>
      </c>
      <c r="B327" s="97">
        <v>2016</v>
      </c>
      <c r="C327" s="43">
        <v>192.51</v>
      </c>
      <c r="D327" s="97" t="s">
        <v>22</v>
      </c>
      <c r="E327" s="43">
        <v>97.9</v>
      </c>
      <c r="F327" s="42">
        <v>-2.06</v>
      </c>
    </row>
    <row r="328" spans="1:6" ht="15" customHeight="1" x14ac:dyDescent="0.35">
      <c r="A328" s="93" t="s">
        <v>102</v>
      </c>
      <c r="B328" s="94">
        <v>2017</v>
      </c>
      <c r="C328" s="99">
        <v>188.45</v>
      </c>
      <c r="D328" s="94" t="s">
        <v>22</v>
      </c>
      <c r="E328" s="99">
        <v>95.9</v>
      </c>
      <c r="F328" s="95">
        <v>-2.11</v>
      </c>
    </row>
    <row r="329" spans="1:6" ht="15" customHeight="1" x14ac:dyDescent="0.35">
      <c r="A329" s="96" t="s">
        <v>102</v>
      </c>
      <c r="B329" s="97">
        <v>2018</v>
      </c>
      <c r="C329" s="43">
        <v>181.88</v>
      </c>
      <c r="D329" s="97" t="s">
        <v>22</v>
      </c>
      <c r="E329" s="43">
        <v>92.5</v>
      </c>
      <c r="F329" s="42">
        <v>-3.49</v>
      </c>
    </row>
    <row r="330" spans="1:6" ht="15" customHeight="1" x14ac:dyDescent="0.35">
      <c r="A330" s="93" t="s">
        <v>102</v>
      </c>
      <c r="B330" s="94">
        <v>2019</v>
      </c>
      <c r="C330" s="99">
        <v>176.15</v>
      </c>
      <c r="D330" s="94" t="s">
        <v>22</v>
      </c>
      <c r="E330" s="99">
        <v>89.6</v>
      </c>
      <c r="F330" s="95">
        <v>-3.15</v>
      </c>
    </row>
    <row r="331" spans="1:6" ht="15" customHeight="1" x14ac:dyDescent="0.35">
      <c r="A331" s="96" t="s">
        <v>102</v>
      </c>
      <c r="B331" s="97">
        <v>2020</v>
      </c>
      <c r="C331" s="43">
        <v>159.27000000000001</v>
      </c>
      <c r="D331" s="97" t="s">
        <v>22</v>
      </c>
      <c r="E331" s="43">
        <v>81</v>
      </c>
      <c r="F331" s="42">
        <v>-9.58</v>
      </c>
    </row>
    <row r="332" spans="1:6" ht="15" customHeight="1" x14ac:dyDescent="0.35">
      <c r="A332" s="93" t="s">
        <v>102</v>
      </c>
      <c r="B332" s="94">
        <v>2021</v>
      </c>
      <c r="C332" s="99">
        <v>168.24</v>
      </c>
      <c r="D332" s="94" t="s">
        <v>22</v>
      </c>
      <c r="E332" s="99">
        <v>85.6</v>
      </c>
      <c r="F332" s="95">
        <v>5.63</v>
      </c>
    </row>
    <row r="333" spans="1:6" ht="15" customHeight="1" x14ac:dyDescent="0.35">
      <c r="A333" s="96" t="s">
        <v>102</v>
      </c>
      <c r="B333" s="97">
        <v>2022</v>
      </c>
      <c r="C333" s="43">
        <v>155.52000000000001</v>
      </c>
      <c r="D333" s="97" t="s">
        <v>22</v>
      </c>
      <c r="E333" s="43">
        <v>79.099999999999994</v>
      </c>
      <c r="F333" s="42">
        <v>-7.56</v>
      </c>
    </row>
    <row r="334" spans="1:6" ht="15" customHeight="1" x14ac:dyDescent="0.35">
      <c r="A334" s="93" t="s">
        <v>102</v>
      </c>
      <c r="B334" s="94">
        <v>2023</v>
      </c>
      <c r="C334" s="99">
        <v>145.66</v>
      </c>
      <c r="D334" s="94" t="s">
        <v>22</v>
      </c>
      <c r="E334" s="99">
        <v>74.099999999999994</v>
      </c>
      <c r="F334" s="95">
        <v>-6.34</v>
      </c>
    </row>
    <row r="335" spans="1:6" ht="15" customHeight="1" x14ac:dyDescent="0.35">
      <c r="A335" s="96" t="s">
        <v>103</v>
      </c>
      <c r="B335" s="97">
        <v>2015</v>
      </c>
      <c r="C335" s="43">
        <v>789.07</v>
      </c>
      <c r="D335" s="97" t="s">
        <v>28</v>
      </c>
      <c r="E335" s="43">
        <v>100</v>
      </c>
      <c r="F335" s="42"/>
    </row>
    <row r="336" spans="1:6" ht="15" customHeight="1" x14ac:dyDescent="0.35">
      <c r="A336" s="93" t="s">
        <v>103</v>
      </c>
      <c r="B336" s="94">
        <v>2016</v>
      </c>
      <c r="C336" s="99">
        <v>886.24</v>
      </c>
      <c r="D336" s="94" t="s">
        <v>28</v>
      </c>
      <c r="E336" s="99">
        <v>112.3</v>
      </c>
      <c r="F336" s="95">
        <v>12.31</v>
      </c>
    </row>
    <row r="337" spans="1:6" ht="15" customHeight="1" x14ac:dyDescent="0.35">
      <c r="A337" s="96" t="s">
        <v>103</v>
      </c>
      <c r="B337" s="97">
        <v>2017</v>
      </c>
      <c r="C337" s="43">
        <v>905.03</v>
      </c>
      <c r="D337" s="97" t="s">
        <v>28</v>
      </c>
      <c r="E337" s="43">
        <v>114.7</v>
      </c>
      <c r="F337" s="42">
        <v>2.12</v>
      </c>
    </row>
    <row r="338" spans="1:6" ht="15" customHeight="1" x14ac:dyDescent="0.35">
      <c r="A338" s="93" t="s">
        <v>103</v>
      </c>
      <c r="B338" s="94">
        <v>2018</v>
      </c>
      <c r="C338" s="99">
        <v>923.96</v>
      </c>
      <c r="D338" s="94" t="s">
        <v>28</v>
      </c>
      <c r="E338" s="99">
        <v>117.1</v>
      </c>
      <c r="F338" s="95">
        <v>2.09</v>
      </c>
    </row>
    <row r="339" spans="1:6" ht="15" customHeight="1" x14ac:dyDescent="0.35">
      <c r="A339" s="96" t="s">
        <v>103</v>
      </c>
      <c r="B339" s="97">
        <v>2019</v>
      </c>
      <c r="C339" s="43">
        <v>915.12</v>
      </c>
      <c r="D339" s="97" t="s">
        <v>28</v>
      </c>
      <c r="E339" s="43">
        <v>116</v>
      </c>
      <c r="F339" s="42">
        <v>-0.96</v>
      </c>
    </row>
    <row r="340" spans="1:6" ht="15" customHeight="1" x14ac:dyDescent="0.35">
      <c r="A340" s="93" t="s">
        <v>103</v>
      </c>
      <c r="B340" s="94">
        <v>2020</v>
      </c>
      <c r="C340" s="99">
        <v>853.61</v>
      </c>
      <c r="D340" s="94" t="s">
        <v>28</v>
      </c>
      <c r="E340" s="99">
        <v>108.2</v>
      </c>
      <c r="F340" s="95">
        <v>-6.72</v>
      </c>
    </row>
    <row r="341" spans="1:6" ht="15" customHeight="1" x14ac:dyDescent="0.35">
      <c r="A341" s="96" t="s">
        <v>103</v>
      </c>
      <c r="B341" s="97">
        <v>2021</v>
      </c>
      <c r="C341" s="43">
        <v>844.41</v>
      </c>
      <c r="D341" s="97" t="s">
        <v>28</v>
      </c>
      <c r="E341" s="43">
        <v>107</v>
      </c>
      <c r="F341" s="42">
        <v>-1.08</v>
      </c>
    </row>
    <row r="342" spans="1:6" ht="15" customHeight="1" x14ac:dyDescent="0.35">
      <c r="A342" s="93" t="s">
        <v>103</v>
      </c>
      <c r="B342" s="94">
        <v>2022</v>
      </c>
      <c r="C342" s="99">
        <v>857.27</v>
      </c>
      <c r="D342" s="94" t="s">
        <v>28</v>
      </c>
      <c r="E342" s="99">
        <v>108.6</v>
      </c>
      <c r="F342" s="95">
        <v>1.52</v>
      </c>
    </row>
    <row r="343" spans="1:6" ht="15" customHeight="1" x14ac:dyDescent="0.35">
      <c r="A343" s="96" t="s">
        <v>103</v>
      </c>
      <c r="B343" s="97">
        <v>2023</v>
      </c>
      <c r="C343" s="43">
        <v>875.95</v>
      </c>
      <c r="D343" s="97" t="s">
        <v>28</v>
      </c>
      <c r="E343" s="43">
        <v>111</v>
      </c>
      <c r="F343" s="42">
        <v>2.1800000000000002</v>
      </c>
    </row>
    <row r="344" spans="1:6" ht="15" customHeight="1" x14ac:dyDescent="0.35">
      <c r="A344" s="93" t="s">
        <v>104</v>
      </c>
      <c r="B344" s="94">
        <v>2015</v>
      </c>
      <c r="C344" s="99">
        <v>64.849999999999994</v>
      </c>
      <c r="D344" s="94" t="s">
        <v>20</v>
      </c>
      <c r="E344" s="99">
        <v>100</v>
      </c>
      <c r="F344" s="95"/>
    </row>
    <row r="345" spans="1:6" ht="15" customHeight="1" x14ac:dyDescent="0.35">
      <c r="A345" s="96" t="s">
        <v>104</v>
      </c>
      <c r="B345" s="97">
        <v>2016</v>
      </c>
      <c r="C345" s="43">
        <v>69.13</v>
      </c>
      <c r="D345" s="97" t="s">
        <v>20</v>
      </c>
      <c r="E345" s="43">
        <v>106.6</v>
      </c>
      <c r="F345" s="42">
        <v>6.6</v>
      </c>
    </row>
    <row r="346" spans="1:6" ht="15" customHeight="1" x14ac:dyDescent="0.35">
      <c r="A346" s="93" t="s">
        <v>104</v>
      </c>
      <c r="B346" s="94">
        <v>2017</v>
      </c>
      <c r="C346" s="99">
        <v>70.69</v>
      </c>
      <c r="D346" s="94" t="s">
        <v>20</v>
      </c>
      <c r="E346" s="99">
        <v>109</v>
      </c>
      <c r="F346" s="95">
        <v>2.2599999999999998</v>
      </c>
    </row>
    <row r="347" spans="1:6" ht="15" customHeight="1" x14ac:dyDescent="0.35">
      <c r="A347" s="96" t="s">
        <v>104</v>
      </c>
      <c r="B347" s="97">
        <v>2018</v>
      </c>
      <c r="C347" s="43">
        <v>69.97</v>
      </c>
      <c r="D347" s="97" t="s">
        <v>20</v>
      </c>
      <c r="E347" s="43">
        <v>107.9</v>
      </c>
      <c r="F347" s="42">
        <v>-1.02</v>
      </c>
    </row>
    <row r="348" spans="1:6" ht="15" customHeight="1" x14ac:dyDescent="0.35">
      <c r="A348" s="93" t="s">
        <v>104</v>
      </c>
      <c r="B348" s="94">
        <v>2019</v>
      </c>
      <c r="C348" s="99">
        <v>70.77</v>
      </c>
      <c r="D348" s="94" t="s">
        <v>20</v>
      </c>
      <c r="E348" s="99">
        <v>109.1</v>
      </c>
      <c r="F348" s="95">
        <v>1.1399999999999999</v>
      </c>
    </row>
    <row r="349" spans="1:6" ht="15" customHeight="1" x14ac:dyDescent="0.35">
      <c r="A349" s="96" t="s">
        <v>104</v>
      </c>
      <c r="B349" s="97">
        <v>2020</v>
      </c>
      <c r="C349" s="43">
        <v>67.81</v>
      </c>
      <c r="D349" s="97" t="s">
        <v>20</v>
      </c>
      <c r="E349" s="43">
        <v>104.6</v>
      </c>
      <c r="F349" s="42">
        <v>-4.18</v>
      </c>
    </row>
    <row r="350" spans="1:6" ht="15" customHeight="1" x14ac:dyDescent="0.35">
      <c r="A350" s="93" t="s">
        <v>104</v>
      </c>
      <c r="B350" s="94">
        <v>2021</v>
      </c>
      <c r="C350" s="99">
        <v>74.98</v>
      </c>
      <c r="D350" s="94" t="s">
        <v>20</v>
      </c>
      <c r="E350" s="99">
        <v>115.6</v>
      </c>
      <c r="F350" s="95">
        <v>10.57</v>
      </c>
    </row>
    <row r="351" spans="1:6" ht="15" customHeight="1" x14ac:dyDescent="0.35">
      <c r="A351" s="96" t="s">
        <v>104</v>
      </c>
      <c r="B351" s="97">
        <v>2022</v>
      </c>
      <c r="C351" s="43">
        <v>71.239999999999995</v>
      </c>
      <c r="D351" s="97" t="s">
        <v>20</v>
      </c>
      <c r="E351" s="43">
        <v>109.9</v>
      </c>
      <c r="F351" s="42">
        <v>-4.99</v>
      </c>
    </row>
    <row r="352" spans="1:6" ht="15" customHeight="1" x14ac:dyDescent="0.35">
      <c r="A352" s="93" t="s">
        <v>104</v>
      </c>
      <c r="B352" s="94">
        <v>2023</v>
      </c>
      <c r="C352" s="99">
        <v>69.959999999999994</v>
      </c>
      <c r="D352" s="94" t="s">
        <v>20</v>
      </c>
      <c r="E352" s="99">
        <v>107.9</v>
      </c>
      <c r="F352" s="95">
        <v>-1.8</v>
      </c>
    </row>
    <row r="353" spans="1:6" ht="15" customHeight="1" x14ac:dyDescent="0.35">
      <c r="A353" s="96" t="s">
        <v>105</v>
      </c>
      <c r="B353" s="97">
        <v>2015</v>
      </c>
      <c r="C353" s="43">
        <v>789.07</v>
      </c>
      <c r="D353" s="97" t="s">
        <v>28</v>
      </c>
      <c r="E353" s="43">
        <v>100</v>
      </c>
      <c r="F353" s="42"/>
    </row>
    <row r="354" spans="1:6" ht="15" customHeight="1" x14ac:dyDescent="0.35">
      <c r="A354" s="93" t="s">
        <v>105</v>
      </c>
      <c r="B354" s="94">
        <v>2016</v>
      </c>
      <c r="C354" s="99">
        <v>886.24</v>
      </c>
      <c r="D354" s="94" t="s">
        <v>28</v>
      </c>
      <c r="E354" s="99">
        <v>112.3</v>
      </c>
      <c r="F354" s="95">
        <v>12.31</v>
      </c>
    </row>
    <row r="355" spans="1:6" ht="15" customHeight="1" x14ac:dyDescent="0.35">
      <c r="A355" s="96" t="s">
        <v>105</v>
      </c>
      <c r="B355" s="97">
        <v>2017</v>
      </c>
      <c r="C355" s="43">
        <v>905.03</v>
      </c>
      <c r="D355" s="97" t="s">
        <v>28</v>
      </c>
      <c r="E355" s="43">
        <v>114.7</v>
      </c>
      <c r="F355" s="42">
        <v>2.12</v>
      </c>
    </row>
    <row r="356" spans="1:6" ht="15" customHeight="1" x14ac:dyDescent="0.35">
      <c r="A356" s="93" t="s">
        <v>105</v>
      </c>
      <c r="B356" s="94">
        <v>2018</v>
      </c>
      <c r="C356" s="99">
        <v>923.96</v>
      </c>
      <c r="D356" s="94" t="s">
        <v>28</v>
      </c>
      <c r="E356" s="99">
        <v>117.1</v>
      </c>
      <c r="F356" s="95">
        <v>2.09</v>
      </c>
    </row>
    <row r="357" spans="1:6" ht="15" customHeight="1" x14ac:dyDescent="0.35">
      <c r="A357" s="96" t="s">
        <v>105</v>
      </c>
      <c r="B357" s="97">
        <v>2019</v>
      </c>
      <c r="C357" s="43">
        <v>915.12</v>
      </c>
      <c r="D357" s="97" t="s">
        <v>28</v>
      </c>
      <c r="E357" s="43">
        <v>116</v>
      </c>
      <c r="F357" s="42">
        <v>-0.96</v>
      </c>
    </row>
    <row r="358" spans="1:6" ht="15" customHeight="1" x14ac:dyDescent="0.35">
      <c r="A358" s="93" t="s">
        <v>105</v>
      </c>
      <c r="B358" s="94">
        <v>2020</v>
      </c>
      <c r="C358" s="99">
        <v>853.61</v>
      </c>
      <c r="D358" s="94" t="s">
        <v>28</v>
      </c>
      <c r="E358" s="99">
        <v>108.2</v>
      </c>
      <c r="F358" s="95">
        <v>-6.72</v>
      </c>
    </row>
    <row r="359" spans="1:6" ht="15" customHeight="1" x14ac:dyDescent="0.35">
      <c r="A359" s="96" t="s">
        <v>105</v>
      </c>
      <c r="B359" s="97">
        <v>2021</v>
      </c>
      <c r="C359" s="43">
        <v>844.41</v>
      </c>
      <c r="D359" s="97" t="s">
        <v>28</v>
      </c>
      <c r="E359" s="43">
        <v>107</v>
      </c>
      <c r="F359" s="42">
        <v>-1.08</v>
      </c>
    </row>
    <row r="360" spans="1:6" ht="15" customHeight="1" x14ac:dyDescent="0.35">
      <c r="A360" s="93" t="s">
        <v>105</v>
      </c>
      <c r="B360" s="94">
        <v>2022</v>
      </c>
      <c r="C360" s="99">
        <v>857.27</v>
      </c>
      <c r="D360" s="94" t="s">
        <v>28</v>
      </c>
      <c r="E360" s="99">
        <v>108.6</v>
      </c>
      <c r="F360" s="95">
        <v>1.52</v>
      </c>
    </row>
    <row r="361" spans="1:6" ht="15" customHeight="1" x14ac:dyDescent="0.35">
      <c r="A361" s="96" t="s">
        <v>105</v>
      </c>
      <c r="B361" s="97">
        <v>2023</v>
      </c>
      <c r="C361" s="43">
        <v>875.95</v>
      </c>
      <c r="D361" s="97" t="s">
        <v>28</v>
      </c>
      <c r="E361" s="43">
        <v>111</v>
      </c>
      <c r="F361" s="42">
        <v>2.1800000000000002</v>
      </c>
    </row>
    <row r="362" spans="1:6" ht="15" customHeight="1" x14ac:dyDescent="0.35">
      <c r="A362" s="93" t="s">
        <v>106</v>
      </c>
      <c r="B362" s="94">
        <v>2015</v>
      </c>
      <c r="C362" s="99">
        <v>789.07</v>
      </c>
      <c r="D362" s="94" t="s">
        <v>28</v>
      </c>
      <c r="E362" s="99">
        <v>100</v>
      </c>
      <c r="F362" s="95"/>
    </row>
    <row r="363" spans="1:6" ht="15" customHeight="1" x14ac:dyDescent="0.35">
      <c r="A363" s="96" t="s">
        <v>106</v>
      </c>
      <c r="B363" s="97">
        <v>2016</v>
      </c>
      <c r="C363" s="43">
        <v>886.24</v>
      </c>
      <c r="D363" s="97" t="s">
        <v>28</v>
      </c>
      <c r="E363" s="43">
        <v>112.3</v>
      </c>
      <c r="F363" s="42">
        <v>12.31</v>
      </c>
    </row>
    <row r="364" spans="1:6" ht="15" customHeight="1" x14ac:dyDescent="0.35">
      <c r="A364" s="93" t="s">
        <v>106</v>
      </c>
      <c r="B364" s="94">
        <v>2017</v>
      </c>
      <c r="C364" s="99">
        <v>905.03</v>
      </c>
      <c r="D364" s="94" t="s">
        <v>28</v>
      </c>
      <c r="E364" s="99">
        <v>114.7</v>
      </c>
      <c r="F364" s="95">
        <v>2.12</v>
      </c>
    </row>
    <row r="365" spans="1:6" ht="15" customHeight="1" x14ac:dyDescent="0.35">
      <c r="A365" s="96" t="s">
        <v>106</v>
      </c>
      <c r="B365" s="97">
        <v>2018</v>
      </c>
      <c r="C365" s="43">
        <v>923.96</v>
      </c>
      <c r="D365" s="97" t="s">
        <v>28</v>
      </c>
      <c r="E365" s="43">
        <v>117.1</v>
      </c>
      <c r="F365" s="42">
        <v>2.09</v>
      </c>
    </row>
    <row r="366" spans="1:6" ht="15" customHeight="1" x14ac:dyDescent="0.35">
      <c r="A366" s="93" t="s">
        <v>106</v>
      </c>
      <c r="B366" s="94">
        <v>2019</v>
      </c>
      <c r="C366" s="99">
        <v>915.12</v>
      </c>
      <c r="D366" s="94" t="s">
        <v>28</v>
      </c>
      <c r="E366" s="99">
        <v>116</v>
      </c>
      <c r="F366" s="95">
        <v>-0.96</v>
      </c>
    </row>
    <row r="367" spans="1:6" ht="15" customHeight="1" x14ac:dyDescent="0.35">
      <c r="A367" s="96" t="s">
        <v>106</v>
      </c>
      <c r="B367" s="97">
        <v>2020</v>
      </c>
      <c r="C367" s="43">
        <v>853.61</v>
      </c>
      <c r="D367" s="97" t="s">
        <v>28</v>
      </c>
      <c r="E367" s="43">
        <v>108.2</v>
      </c>
      <c r="F367" s="42">
        <v>-6.72</v>
      </c>
    </row>
    <row r="368" spans="1:6" ht="15" customHeight="1" x14ac:dyDescent="0.35">
      <c r="A368" s="93" t="s">
        <v>106</v>
      </c>
      <c r="B368" s="94">
        <v>2021</v>
      </c>
      <c r="C368" s="99">
        <v>844.41</v>
      </c>
      <c r="D368" s="94" t="s">
        <v>28</v>
      </c>
      <c r="E368" s="99">
        <v>107</v>
      </c>
      <c r="F368" s="95">
        <v>-1.08</v>
      </c>
    </row>
    <row r="369" spans="1:6" ht="15" customHeight="1" x14ac:dyDescent="0.35">
      <c r="A369" s="96" t="s">
        <v>106</v>
      </c>
      <c r="B369" s="97">
        <v>2022</v>
      </c>
      <c r="C369" s="43">
        <v>857.27</v>
      </c>
      <c r="D369" s="97" t="s">
        <v>28</v>
      </c>
      <c r="E369" s="43">
        <v>108.6</v>
      </c>
      <c r="F369" s="42">
        <v>1.52</v>
      </c>
    </row>
    <row r="370" spans="1:6" ht="15" customHeight="1" x14ac:dyDescent="0.35">
      <c r="A370" s="93" t="s">
        <v>106</v>
      </c>
      <c r="B370" s="94">
        <v>2023</v>
      </c>
      <c r="C370" s="99">
        <v>875.95</v>
      </c>
      <c r="D370" s="94" t="s">
        <v>28</v>
      </c>
      <c r="E370" s="99">
        <v>111</v>
      </c>
      <c r="F370" s="95">
        <v>2.1800000000000002</v>
      </c>
    </row>
    <row r="371" spans="1:6" ht="15" customHeight="1" x14ac:dyDescent="0.35">
      <c r="A371" s="96" t="s">
        <v>107</v>
      </c>
      <c r="B371" s="97">
        <v>2015</v>
      </c>
      <c r="C371" s="43">
        <v>36.06</v>
      </c>
      <c r="D371" s="97" t="s">
        <v>22</v>
      </c>
      <c r="E371" s="43">
        <v>100</v>
      </c>
      <c r="F371" s="42"/>
    </row>
    <row r="372" spans="1:6" ht="15" customHeight="1" x14ac:dyDescent="0.35">
      <c r="A372" s="93" t="s">
        <v>107</v>
      </c>
      <c r="B372" s="94">
        <v>2016</v>
      </c>
      <c r="C372" s="99">
        <v>46.29</v>
      </c>
      <c r="D372" s="94" t="s">
        <v>22</v>
      </c>
      <c r="E372" s="99">
        <v>128.4</v>
      </c>
      <c r="F372" s="95">
        <v>28.37</v>
      </c>
    </row>
    <row r="373" spans="1:6" ht="15" customHeight="1" x14ac:dyDescent="0.35">
      <c r="A373" s="96" t="s">
        <v>107</v>
      </c>
      <c r="B373" s="97">
        <v>2017</v>
      </c>
      <c r="C373" s="43">
        <v>45.96</v>
      </c>
      <c r="D373" s="97" t="s">
        <v>22</v>
      </c>
      <c r="E373" s="43">
        <v>127.5</v>
      </c>
      <c r="F373" s="42">
        <v>-0.71</v>
      </c>
    </row>
    <row r="374" spans="1:6" ht="15" customHeight="1" x14ac:dyDescent="0.35">
      <c r="A374" s="93" t="s">
        <v>107</v>
      </c>
      <c r="B374" s="94">
        <v>2018</v>
      </c>
      <c r="C374" s="99">
        <v>45.36</v>
      </c>
      <c r="D374" s="94" t="s">
        <v>22</v>
      </c>
      <c r="E374" s="99">
        <v>125.8</v>
      </c>
      <c r="F374" s="95">
        <v>-1.31</v>
      </c>
    </row>
    <row r="375" spans="1:6" ht="15" customHeight="1" x14ac:dyDescent="0.35">
      <c r="A375" s="96" t="s">
        <v>107</v>
      </c>
      <c r="B375" s="97">
        <v>2019</v>
      </c>
      <c r="C375" s="43">
        <v>43.98</v>
      </c>
      <c r="D375" s="97" t="s">
        <v>22</v>
      </c>
      <c r="E375" s="43">
        <v>122</v>
      </c>
      <c r="F375" s="42">
        <v>-3.04</v>
      </c>
    </row>
    <row r="376" spans="1:6" ht="15" customHeight="1" x14ac:dyDescent="0.35">
      <c r="A376" s="93" t="s">
        <v>107</v>
      </c>
      <c r="B376" s="94">
        <v>2020</v>
      </c>
      <c r="C376" s="99">
        <v>42.34</v>
      </c>
      <c r="D376" s="94" t="s">
        <v>22</v>
      </c>
      <c r="E376" s="99">
        <v>117.4</v>
      </c>
      <c r="F376" s="95">
        <v>-3.73</v>
      </c>
    </row>
    <row r="377" spans="1:6" ht="15" customHeight="1" x14ac:dyDescent="0.35">
      <c r="A377" s="96" t="s">
        <v>107</v>
      </c>
      <c r="B377" s="97">
        <v>2021</v>
      </c>
      <c r="C377" s="43">
        <v>51.64</v>
      </c>
      <c r="D377" s="97" t="s">
        <v>22</v>
      </c>
      <c r="E377" s="43">
        <v>143.19999999999999</v>
      </c>
      <c r="F377" s="42">
        <v>21.97</v>
      </c>
    </row>
    <row r="378" spans="1:6" ht="15" customHeight="1" x14ac:dyDescent="0.35">
      <c r="A378" s="93" t="s">
        <v>107</v>
      </c>
      <c r="B378" s="94">
        <v>2022</v>
      </c>
      <c r="C378" s="99">
        <v>51.03</v>
      </c>
      <c r="D378" s="94" t="s">
        <v>22</v>
      </c>
      <c r="E378" s="99">
        <v>141.5</v>
      </c>
      <c r="F378" s="95">
        <v>-1.18</v>
      </c>
    </row>
    <row r="379" spans="1:6" ht="15" customHeight="1" x14ac:dyDescent="0.35">
      <c r="A379" s="96" t="s">
        <v>107</v>
      </c>
      <c r="B379" s="97">
        <v>2023</v>
      </c>
      <c r="C379" s="43">
        <v>49.47</v>
      </c>
      <c r="D379" s="97" t="s">
        <v>22</v>
      </c>
      <c r="E379" s="43">
        <v>137.19999999999999</v>
      </c>
      <c r="F379" s="42">
        <v>-3.06</v>
      </c>
    </row>
    <row r="380" spans="1:6" ht="15" customHeight="1" x14ac:dyDescent="0.35">
      <c r="A380" s="93" t="s">
        <v>108</v>
      </c>
      <c r="B380" s="94">
        <v>2015</v>
      </c>
      <c r="C380" s="99">
        <v>789.07</v>
      </c>
      <c r="D380" s="94" t="s">
        <v>28</v>
      </c>
      <c r="E380" s="99">
        <v>100</v>
      </c>
      <c r="F380" s="95"/>
    </row>
    <row r="381" spans="1:6" ht="15" customHeight="1" x14ac:dyDescent="0.35">
      <c r="A381" s="96" t="s">
        <v>108</v>
      </c>
      <c r="B381" s="97">
        <v>2016</v>
      </c>
      <c r="C381" s="43">
        <v>886.24</v>
      </c>
      <c r="D381" s="97" t="s">
        <v>28</v>
      </c>
      <c r="E381" s="43">
        <v>112.3</v>
      </c>
      <c r="F381" s="42">
        <v>12.31</v>
      </c>
    </row>
    <row r="382" spans="1:6" ht="15" customHeight="1" x14ac:dyDescent="0.35">
      <c r="A382" s="93" t="s">
        <v>108</v>
      </c>
      <c r="B382" s="94">
        <v>2017</v>
      </c>
      <c r="C382" s="99">
        <v>905.03</v>
      </c>
      <c r="D382" s="94" t="s">
        <v>28</v>
      </c>
      <c r="E382" s="99">
        <v>114.7</v>
      </c>
      <c r="F382" s="95">
        <v>2.12</v>
      </c>
    </row>
    <row r="383" spans="1:6" ht="15" customHeight="1" x14ac:dyDescent="0.35">
      <c r="A383" s="96" t="s">
        <v>108</v>
      </c>
      <c r="B383" s="97">
        <v>2018</v>
      </c>
      <c r="C383" s="43">
        <v>923.96</v>
      </c>
      <c r="D383" s="97" t="s">
        <v>28</v>
      </c>
      <c r="E383" s="43">
        <v>117.1</v>
      </c>
      <c r="F383" s="42">
        <v>2.09</v>
      </c>
    </row>
    <row r="384" spans="1:6" ht="15" customHeight="1" x14ac:dyDescent="0.35">
      <c r="A384" s="93" t="s">
        <v>108</v>
      </c>
      <c r="B384" s="94">
        <v>2019</v>
      </c>
      <c r="C384" s="99">
        <v>915.12</v>
      </c>
      <c r="D384" s="94" t="s">
        <v>28</v>
      </c>
      <c r="E384" s="99">
        <v>116</v>
      </c>
      <c r="F384" s="95">
        <v>-0.96</v>
      </c>
    </row>
    <row r="385" spans="1:6" ht="15" customHeight="1" x14ac:dyDescent="0.35">
      <c r="A385" s="96" t="s">
        <v>108</v>
      </c>
      <c r="B385" s="97">
        <v>2020</v>
      </c>
      <c r="C385" s="43">
        <v>853.61</v>
      </c>
      <c r="D385" s="97" t="s">
        <v>28</v>
      </c>
      <c r="E385" s="43">
        <v>108.2</v>
      </c>
      <c r="F385" s="42">
        <v>-6.72</v>
      </c>
    </row>
    <row r="386" spans="1:6" ht="15" customHeight="1" x14ac:dyDescent="0.35">
      <c r="A386" s="93" t="s">
        <v>108</v>
      </c>
      <c r="B386" s="94">
        <v>2021</v>
      </c>
      <c r="C386" s="99">
        <v>844.41</v>
      </c>
      <c r="D386" s="94" t="s">
        <v>28</v>
      </c>
      <c r="E386" s="99">
        <v>107</v>
      </c>
      <c r="F386" s="95">
        <v>-1.08</v>
      </c>
    </row>
    <row r="387" spans="1:6" ht="15" customHeight="1" x14ac:dyDescent="0.35">
      <c r="A387" s="96" t="s">
        <v>108</v>
      </c>
      <c r="B387" s="97">
        <v>2022</v>
      </c>
      <c r="C387" s="43">
        <v>857.27</v>
      </c>
      <c r="D387" s="97" t="s">
        <v>28</v>
      </c>
      <c r="E387" s="43">
        <v>108.6</v>
      </c>
      <c r="F387" s="42">
        <v>1.52</v>
      </c>
    </row>
    <row r="388" spans="1:6" ht="15" customHeight="1" x14ac:dyDescent="0.35">
      <c r="A388" s="93" t="s">
        <v>108</v>
      </c>
      <c r="B388" s="94">
        <v>2023</v>
      </c>
      <c r="C388" s="99">
        <v>875.95</v>
      </c>
      <c r="D388" s="94" t="s">
        <v>28</v>
      </c>
      <c r="E388" s="99">
        <v>111</v>
      </c>
      <c r="F388" s="95">
        <v>2.1800000000000002</v>
      </c>
    </row>
    <row r="389" spans="1:6" ht="15" customHeight="1" x14ac:dyDescent="0.35">
      <c r="A389" s="96" t="s">
        <v>109</v>
      </c>
      <c r="B389" s="97">
        <v>2015</v>
      </c>
      <c r="C389" s="43">
        <v>789.07</v>
      </c>
      <c r="D389" s="97" t="s">
        <v>28</v>
      </c>
      <c r="E389" s="43">
        <v>100</v>
      </c>
      <c r="F389" s="42"/>
    </row>
    <row r="390" spans="1:6" ht="15" customHeight="1" x14ac:dyDescent="0.35">
      <c r="A390" s="93" t="s">
        <v>109</v>
      </c>
      <c r="B390" s="94">
        <v>2016</v>
      </c>
      <c r="C390" s="99">
        <v>886.24</v>
      </c>
      <c r="D390" s="94" t="s">
        <v>28</v>
      </c>
      <c r="E390" s="99">
        <v>112.3</v>
      </c>
      <c r="F390" s="95">
        <v>12.31</v>
      </c>
    </row>
    <row r="391" spans="1:6" ht="15" customHeight="1" x14ac:dyDescent="0.35">
      <c r="A391" s="96" t="s">
        <v>109</v>
      </c>
      <c r="B391" s="97">
        <v>2017</v>
      </c>
      <c r="C391" s="43">
        <v>905.03</v>
      </c>
      <c r="D391" s="97" t="s">
        <v>28</v>
      </c>
      <c r="E391" s="43">
        <v>114.7</v>
      </c>
      <c r="F391" s="42">
        <v>2.12</v>
      </c>
    </row>
    <row r="392" spans="1:6" ht="15" customHeight="1" x14ac:dyDescent="0.35">
      <c r="A392" s="93" t="s">
        <v>109</v>
      </c>
      <c r="B392" s="94">
        <v>2018</v>
      </c>
      <c r="C392" s="99">
        <v>923.96</v>
      </c>
      <c r="D392" s="94" t="s">
        <v>28</v>
      </c>
      <c r="E392" s="99">
        <v>117.1</v>
      </c>
      <c r="F392" s="95">
        <v>2.09</v>
      </c>
    </row>
    <row r="393" spans="1:6" ht="15" customHeight="1" x14ac:dyDescent="0.35">
      <c r="A393" s="96" t="s">
        <v>109</v>
      </c>
      <c r="B393" s="97">
        <v>2019</v>
      </c>
      <c r="C393" s="43">
        <v>915.12</v>
      </c>
      <c r="D393" s="97" t="s">
        <v>28</v>
      </c>
      <c r="E393" s="43">
        <v>116</v>
      </c>
      <c r="F393" s="42">
        <v>-0.96</v>
      </c>
    </row>
    <row r="394" spans="1:6" ht="15" customHeight="1" x14ac:dyDescent="0.35">
      <c r="A394" s="93" t="s">
        <v>109</v>
      </c>
      <c r="B394" s="94">
        <v>2020</v>
      </c>
      <c r="C394" s="99">
        <v>853.61</v>
      </c>
      <c r="D394" s="94" t="s">
        <v>28</v>
      </c>
      <c r="E394" s="99">
        <v>108.2</v>
      </c>
      <c r="F394" s="95">
        <v>-6.72</v>
      </c>
    </row>
    <row r="395" spans="1:6" ht="15" customHeight="1" x14ac:dyDescent="0.35">
      <c r="A395" s="96" t="s">
        <v>109</v>
      </c>
      <c r="B395" s="97">
        <v>2021</v>
      </c>
      <c r="C395" s="43">
        <v>844.41</v>
      </c>
      <c r="D395" s="97" t="s">
        <v>28</v>
      </c>
      <c r="E395" s="43">
        <v>107</v>
      </c>
      <c r="F395" s="42">
        <v>-1.08</v>
      </c>
    </row>
    <row r="396" spans="1:6" ht="15" customHeight="1" x14ac:dyDescent="0.35">
      <c r="A396" s="93" t="s">
        <v>109</v>
      </c>
      <c r="B396" s="94">
        <v>2022</v>
      </c>
      <c r="C396" s="99">
        <v>857.27</v>
      </c>
      <c r="D396" s="94" t="s">
        <v>28</v>
      </c>
      <c r="E396" s="99">
        <v>108.6</v>
      </c>
      <c r="F396" s="95">
        <v>1.52</v>
      </c>
    </row>
    <row r="397" spans="1:6" ht="15" customHeight="1" x14ac:dyDescent="0.35">
      <c r="A397" s="96" t="s">
        <v>109</v>
      </c>
      <c r="B397" s="97">
        <v>2023</v>
      </c>
      <c r="C397" s="43">
        <v>875.95</v>
      </c>
      <c r="D397" s="97" t="s">
        <v>28</v>
      </c>
      <c r="E397" s="43">
        <v>111</v>
      </c>
      <c r="F397" s="42">
        <v>2.1800000000000002</v>
      </c>
    </row>
    <row r="398" spans="1:6" ht="15" customHeight="1" x14ac:dyDescent="0.35">
      <c r="A398" s="93" t="s">
        <v>110</v>
      </c>
      <c r="B398" s="94">
        <v>2015</v>
      </c>
      <c r="C398" s="99">
        <v>352.81</v>
      </c>
      <c r="D398" s="94" t="s">
        <v>22</v>
      </c>
      <c r="E398" s="99">
        <v>100</v>
      </c>
      <c r="F398" s="95"/>
    </row>
    <row r="399" spans="1:6" ht="15" customHeight="1" x14ac:dyDescent="0.35">
      <c r="A399" s="96" t="s">
        <v>110</v>
      </c>
      <c r="B399" s="97">
        <v>2016</v>
      </c>
      <c r="C399" s="43">
        <v>376.66</v>
      </c>
      <c r="D399" s="97" t="s">
        <v>22</v>
      </c>
      <c r="E399" s="43">
        <v>106.8</v>
      </c>
      <c r="F399" s="42">
        <v>6.76</v>
      </c>
    </row>
    <row r="400" spans="1:6" ht="15" customHeight="1" x14ac:dyDescent="0.35">
      <c r="A400" s="93" t="s">
        <v>110</v>
      </c>
      <c r="B400" s="94">
        <v>2017</v>
      </c>
      <c r="C400" s="99">
        <v>389.14</v>
      </c>
      <c r="D400" s="94" t="s">
        <v>22</v>
      </c>
      <c r="E400" s="99">
        <v>110.3</v>
      </c>
      <c r="F400" s="95">
        <v>3.31</v>
      </c>
    </row>
    <row r="401" spans="1:6" ht="15" customHeight="1" x14ac:dyDescent="0.35">
      <c r="A401" s="96" t="s">
        <v>110</v>
      </c>
      <c r="B401" s="97">
        <v>2018</v>
      </c>
      <c r="C401" s="43">
        <v>386.99</v>
      </c>
      <c r="D401" s="97" t="s">
        <v>22</v>
      </c>
      <c r="E401" s="43">
        <v>109.7</v>
      </c>
      <c r="F401" s="42">
        <v>-0.55000000000000004</v>
      </c>
    </row>
    <row r="402" spans="1:6" ht="15" customHeight="1" x14ac:dyDescent="0.35">
      <c r="A402" s="93" t="s">
        <v>110</v>
      </c>
      <c r="B402" s="94">
        <v>2019</v>
      </c>
      <c r="C402" s="99">
        <v>368.59</v>
      </c>
      <c r="D402" s="94" t="s">
        <v>22</v>
      </c>
      <c r="E402" s="99">
        <v>104.5</v>
      </c>
      <c r="F402" s="95">
        <v>-4.75</v>
      </c>
    </row>
    <row r="403" spans="1:6" ht="15" customHeight="1" x14ac:dyDescent="0.35">
      <c r="A403" s="96" t="s">
        <v>110</v>
      </c>
      <c r="B403" s="97">
        <v>2020</v>
      </c>
      <c r="C403" s="43">
        <v>350.9</v>
      </c>
      <c r="D403" s="97" t="s">
        <v>22</v>
      </c>
      <c r="E403" s="43">
        <v>99.5</v>
      </c>
      <c r="F403" s="42">
        <v>-4.8</v>
      </c>
    </row>
    <row r="404" spans="1:6" ht="15" customHeight="1" x14ac:dyDescent="0.35">
      <c r="A404" s="93" t="s">
        <v>110</v>
      </c>
      <c r="B404" s="94">
        <v>2021</v>
      </c>
      <c r="C404" s="99">
        <v>399.18</v>
      </c>
      <c r="D404" s="94" t="s">
        <v>22</v>
      </c>
      <c r="E404" s="99">
        <v>113.1</v>
      </c>
      <c r="F404" s="95">
        <v>13.76</v>
      </c>
    </row>
    <row r="405" spans="1:6" ht="15" customHeight="1" x14ac:dyDescent="0.35">
      <c r="A405" s="96" t="s">
        <v>110</v>
      </c>
      <c r="B405" s="97">
        <v>2022</v>
      </c>
      <c r="C405" s="43">
        <v>383.98</v>
      </c>
      <c r="D405" s="97" t="s">
        <v>22</v>
      </c>
      <c r="E405" s="43">
        <v>108.8</v>
      </c>
      <c r="F405" s="42">
        <v>-3.81</v>
      </c>
    </row>
    <row r="406" spans="1:6" ht="15" customHeight="1" x14ac:dyDescent="0.35">
      <c r="A406" s="93" t="s">
        <v>110</v>
      </c>
      <c r="B406" s="94">
        <v>2023</v>
      </c>
      <c r="C406" s="99">
        <v>354.9</v>
      </c>
      <c r="D406" s="94" t="s">
        <v>22</v>
      </c>
      <c r="E406" s="99">
        <v>100.6</v>
      </c>
      <c r="F406" s="95">
        <v>-7.57</v>
      </c>
    </row>
    <row r="407" spans="1:6" ht="15" customHeight="1" x14ac:dyDescent="0.35">
      <c r="A407" s="96" t="s">
        <v>111</v>
      </c>
      <c r="B407" s="97">
        <v>2015</v>
      </c>
      <c r="C407" s="43">
        <v>65.819999999999993</v>
      </c>
      <c r="D407" s="97" t="s">
        <v>22</v>
      </c>
      <c r="E407" s="43">
        <v>100</v>
      </c>
      <c r="F407" s="42"/>
    </row>
    <row r="408" spans="1:6" ht="15" customHeight="1" x14ac:dyDescent="0.35">
      <c r="A408" s="93" t="s">
        <v>111</v>
      </c>
      <c r="B408" s="94">
        <v>2016</v>
      </c>
      <c r="C408" s="99">
        <v>69.77</v>
      </c>
      <c r="D408" s="94" t="s">
        <v>22</v>
      </c>
      <c r="E408" s="99">
        <v>106</v>
      </c>
      <c r="F408" s="95">
        <v>6</v>
      </c>
    </row>
    <row r="409" spans="1:6" ht="15" customHeight="1" x14ac:dyDescent="0.35">
      <c r="A409" s="96" t="s">
        <v>111</v>
      </c>
      <c r="B409" s="97">
        <v>2017</v>
      </c>
      <c r="C409" s="43">
        <v>75.150000000000006</v>
      </c>
      <c r="D409" s="97" t="s">
        <v>22</v>
      </c>
      <c r="E409" s="43">
        <v>114.2</v>
      </c>
      <c r="F409" s="42">
        <v>7.71</v>
      </c>
    </row>
    <row r="410" spans="1:6" ht="15" customHeight="1" x14ac:dyDescent="0.35">
      <c r="A410" s="93" t="s">
        <v>111</v>
      </c>
      <c r="B410" s="94">
        <v>2018</v>
      </c>
      <c r="C410" s="99">
        <v>70.3</v>
      </c>
      <c r="D410" s="94" t="s">
        <v>22</v>
      </c>
      <c r="E410" s="99">
        <v>106.8</v>
      </c>
      <c r="F410" s="95">
        <v>-6.45</v>
      </c>
    </row>
    <row r="411" spans="1:6" ht="15" customHeight="1" x14ac:dyDescent="0.35">
      <c r="A411" s="96" t="s">
        <v>111</v>
      </c>
      <c r="B411" s="97">
        <v>2019</v>
      </c>
      <c r="C411" s="43">
        <v>65.69</v>
      </c>
      <c r="D411" s="97" t="s">
        <v>22</v>
      </c>
      <c r="E411" s="43">
        <v>99.8</v>
      </c>
      <c r="F411" s="42">
        <v>-6.56</v>
      </c>
    </row>
    <row r="412" spans="1:6" ht="15" customHeight="1" x14ac:dyDescent="0.35">
      <c r="A412" s="93" t="s">
        <v>111</v>
      </c>
      <c r="B412" s="94">
        <v>2020</v>
      </c>
      <c r="C412" s="99">
        <v>60.05</v>
      </c>
      <c r="D412" s="94" t="s">
        <v>22</v>
      </c>
      <c r="E412" s="99">
        <v>91.2</v>
      </c>
      <c r="F412" s="95">
        <v>-8.59</v>
      </c>
    </row>
    <row r="413" spans="1:6" ht="15" customHeight="1" x14ac:dyDescent="0.35">
      <c r="A413" s="96" t="s">
        <v>111</v>
      </c>
      <c r="B413" s="97">
        <v>2021</v>
      </c>
      <c r="C413" s="43">
        <v>52.81</v>
      </c>
      <c r="D413" s="97" t="s">
        <v>22</v>
      </c>
      <c r="E413" s="43">
        <v>80.2</v>
      </c>
      <c r="F413" s="42">
        <v>-12.06</v>
      </c>
    </row>
    <row r="414" spans="1:6" ht="15" customHeight="1" x14ac:dyDescent="0.35">
      <c r="A414" s="93" t="s">
        <v>111</v>
      </c>
      <c r="B414" s="94">
        <v>2022</v>
      </c>
      <c r="C414" s="99">
        <v>53.58</v>
      </c>
      <c r="D414" s="94" t="s">
        <v>22</v>
      </c>
      <c r="E414" s="99">
        <v>81.400000000000006</v>
      </c>
      <c r="F414" s="95">
        <v>1.46</v>
      </c>
    </row>
    <row r="415" spans="1:6" ht="15" customHeight="1" x14ac:dyDescent="0.35">
      <c r="A415" s="96" t="s">
        <v>111</v>
      </c>
      <c r="B415" s="97">
        <v>2023</v>
      </c>
      <c r="C415" s="43">
        <v>51.44</v>
      </c>
      <c r="D415" s="97" t="s">
        <v>22</v>
      </c>
      <c r="E415" s="43">
        <v>78.2</v>
      </c>
      <c r="F415" s="42">
        <v>-3.99</v>
      </c>
    </row>
    <row r="416" spans="1:6" ht="15" customHeight="1" x14ac:dyDescent="0.35">
      <c r="A416" s="93" t="s">
        <v>112</v>
      </c>
      <c r="B416" s="94">
        <v>2015</v>
      </c>
      <c r="C416" s="99">
        <v>789.07</v>
      </c>
      <c r="D416" s="94" t="s">
        <v>28</v>
      </c>
      <c r="E416" s="99">
        <v>100</v>
      </c>
      <c r="F416" s="95"/>
    </row>
    <row r="417" spans="1:6" ht="15" customHeight="1" x14ac:dyDescent="0.35">
      <c r="A417" s="96" t="s">
        <v>112</v>
      </c>
      <c r="B417" s="97">
        <v>2016</v>
      </c>
      <c r="C417" s="43">
        <v>886.24</v>
      </c>
      <c r="D417" s="97" t="s">
        <v>28</v>
      </c>
      <c r="E417" s="43">
        <v>112.3</v>
      </c>
      <c r="F417" s="42">
        <v>12.31</v>
      </c>
    </row>
    <row r="418" spans="1:6" ht="15" customHeight="1" x14ac:dyDescent="0.35">
      <c r="A418" s="93" t="s">
        <v>112</v>
      </c>
      <c r="B418" s="94">
        <v>2017</v>
      </c>
      <c r="C418" s="99">
        <v>905.03</v>
      </c>
      <c r="D418" s="94" t="s">
        <v>28</v>
      </c>
      <c r="E418" s="99">
        <v>114.7</v>
      </c>
      <c r="F418" s="95">
        <v>2.12</v>
      </c>
    </row>
    <row r="419" spans="1:6" ht="15" customHeight="1" x14ac:dyDescent="0.35">
      <c r="A419" s="96" t="s">
        <v>112</v>
      </c>
      <c r="B419" s="97">
        <v>2018</v>
      </c>
      <c r="C419" s="43">
        <v>923.96</v>
      </c>
      <c r="D419" s="97" t="s">
        <v>28</v>
      </c>
      <c r="E419" s="43">
        <v>117.1</v>
      </c>
      <c r="F419" s="42">
        <v>2.09</v>
      </c>
    </row>
    <row r="420" spans="1:6" ht="15" customHeight="1" x14ac:dyDescent="0.35">
      <c r="A420" s="93" t="s">
        <v>112</v>
      </c>
      <c r="B420" s="94">
        <v>2019</v>
      </c>
      <c r="C420" s="99">
        <v>915.12</v>
      </c>
      <c r="D420" s="94" t="s">
        <v>28</v>
      </c>
      <c r="E420" s="99">
        <v>116</v>
      </c>
      <c r="F420" s="95">
        <v>-0.96</v>
      </c>
    </row>
    <row r="421" spans="1:6" ht="15" customHeight="1" x14ac:dyDescent="0.35">
      <c r="A421" s="96" t="s">
        <v>112</v>
      </c>
      <c r="B421" s="97">
        <v>2020</v>
      </c>
      <c r="C421" s="43">
        <v>853.61</v>
      </c>
      <c r="D421" s="97" t="s">
        <v>28</v>
      </c>
      <c r="E421" s="43">
        <v>108.2</v>
      </c>
      <c r="F421" s="42">
        <v>-6.72</v>
      </c>
    </row>
    <row r="422" spans="1:6" ht="15" customHeight="1" x14ac:dyDescent="0.35">
      <c r="A422" s="93" t="s">
        <v>112</v>
      </c>
      <c r="B422" s="94">
        <v>2021</v>
      </c>
      <c r="C422" s="99">
        <v>844.41</v>
      </c>
      <c r="D422" s="94" t="s">
        <v>28</v>
      </c>
      <c r="E422" s="99">
        <v>107</v>
      </c>
      <c r="F422" s="95">
        <v>-1.08</v>
      </c>
    </row>
    <row r="423" spans="1:6" ht="15" customHeight="1" x14ac:dyDescent="0.35">
      <c r="A423" s="96" t="s">
        <v>112</v>
      </c>
      <c r="B423" s="97">
        <v>2022</v>
      </c>
      <c r="C423" s="43">
        <v>857.27</v>
      </c>
      <c r="D423" s="97" t="s">
        <v>28</v>
      </c>
      <c r="E423" s="43">
        <v>108.6</v>
      </c>
      <c r="F423" s="42">
        <v>1.52</v>
      </c>
    </row>
    <row r="424" spans="1:6" ht="15" customHeight="1" x14ac:dyDescent="0.35">
      <c r="A424" s="93" t="s">
        <v>112</v>
      </c>
      <c r="B424" s="94">
        <v>2023</v>
      </c>
      <c r="C424" s="99">
        <v>875.95</v>
      </c>
      <c r="D424" s="94" t="s">
        <v>28</v>
      </c>
      <c r="E424" s="99">
        <v>111</v>
      </c>
      <c r="F424" s="95">
        <v>2.1800000000000002</v>
      </c>
    </row>
    <row r="425" spans="1:6" ht="15" customHeight="1" x14ac:dyDescent="0.35">
      <c r="A425" s="96" t="s">
        <v>113</v>
      </c>
      <c r="B425" s="97">
        <v>2015</v>
      </c>
      <c r="C425" s="43">
        <v>789.07</v>
      </c>
      <c r="D425" s="97" t="s">
        <v>28</v>
      </c>
      <c r="E425" s="43">
        <v>100</v>
      </c>
      <c r="F425" s="42"/>
    </row>
    <row r="426" spans="1:6" ht="15" customHeight="1" x14ac:dyDescent="0.35">
      <c r="A426" s="93" t="s">
        <v>113</v>
      </c>
      <c r="B426" s="94">
        <v>2016</v>
      </c>
      <c r="C426" s="99">
        <v>886.24</v>
      </c>
      <c r="D426" s="94" t="s">
        <v>28</v>
      </c>
      <c r="E426" s="99">
        <v>112.3</v>
      </c>
      <c r="F426" s="95">
        <v>12.31</v>
      </c>
    </row>
    <row r="427" spans="1:6" ht="15" customHeight="1" x14ac:dyDescent="0.35">
      <c r="A427" s="96" t="s">
        <v>113</v>
      </c>
      <c r="B427" s="97">
        <v>2017</v>
      </c>
      <c r="C427" s="43">
        <v>905.03</v>
      </c>
      <c r="D427" s="97" t="s">
        <v>28</v>
      </c>
      <c r="E427" s="43">
        <v>114.7</v>
      </c>
      <c r="F427" s="42">
        <v>2.12</v>
      </c>
    </row>
    <row r="428" spans="1:6" ht="15" customHeight="1" x14ac:dyDescent="0.35">
      <c r="A428" s="93" t="s">
        <v>113</v>
      </c>
      <c r="B428" s="94">
        <v>2018</v>
      </c>
      <c r="C428" s="99">
        <v>923.96</v>
      </c>
      <c r="D428" s="94" t="s">
        <v>28</v>
      </c>
      <c r="E428" s="99">
        <v>117.1</v>
      </c>
      <c r="F428" s="95">
        <v>2.09</v>
      </c>
    </row>
    <row r="429" spans="1:6" ht="15" customHeight="1" x14ac:dyDescent="0.35">
      <c r="A429" s="96" t="s">
        <v>113</v>
      </c>
      <c r="B429" s="97">
        <v>2019</v>
      </c>
      <c r="C429" s="43">
        <v>915.12</v>
      </c>
      <c r="D429" s="97" t="s">
        <v>28</v>
      </c>
      <c r="E429" s="43">
        <v>116</v>
      </c>
      <c r="F429" s="42">
        <v>-0.96</v>
      </c>
    </row>
    <row r="430" spans="1:6" ht="15" customHeight="1" x14ac:dyDescent="0.35">
      <c r="A430" s="93" t="s">
        <v>113</v>
      </c>
      <c r="B430" s="94">
        <v>2020</v>
      </c>
      <c r="C430" s="99">
        <v>853.61</v>
      </c>
      <c r="D430" s="94" t="s">
        <v>28</v>
      </c>
      <c r="E430" s="99">
        <v>108.2</v>
      </c>
      <c r="F430" s="95">
        <v>-6.72</v>
      </c>
    </row>
    <row r="431" spans="1:6" ht="15" customHeight="1" x14ac:dyDescent="0.35">
      <c r="A431" s="96" t="s">
        <v>113</v>
      </c>
      <c r="B431" s="97">
        <v>2021</v>
      </c>
      <c r="C431" s="43">
        <v>844.41</v>
      </c>
      <c r="D431" s="97" t="s">
        <v>28</v>
      </c>
      <c r="E431" s="43">
        <v>107</v>
      </c>
      <c r="F431" s="42">
        <v>-1.08</v>
      </c>
    </row>
    <row r="432" spans="1:6" ht="15" customHeight="1" x14ac:dyDescent="0.35">
      <c r="A432" s="93" t="s">
        <v>113</v>
      </c>
      <c r="B432" s="94">
        <v>2022</v>
      </c>
      <c r="C432" s="99">
        <v>857.27</v>
      </c>
      <c r="D432" s="94" t="s">
        <v>28</v>
      </c>
      <c r="E432" s="99">
        <v>108.6</v>
      </c>
      <c r="F432" s="95">
        <v>1.52</v>
      </c>
    </row>
    <row r="433" spans="1:6" ht="15" customHeight="1" x14ac:dyDescent="0.35">
      <c r="A433" s="96" t="s">
        <v>113</v>
      </c>
      <c r="B433" s="97">
        <v>2023</v>
      </c>
      <c r="C433" s="43">
        <v>875.95</v>
      </c>
      <c r="D433" s="97" t="s">
        <v>28</v>
      </c>
      <c r="E433" s="43">
        <v>111</v>
      </c>
      <c r="F433" s="42">
        <v>2.1800000000000002</v>
      </c>
    </row>
    <row r="434" spans="1:6" ht="15" customHeight="1" x14ac:dyDescent="0.35">
      <c r="A434" s="93" t="s">
        <v>114</v>
      </c>
      <c r="B434" s="94">
        <v>2015</v>
      </c>
      <c r="C434" s="99">
        <v>678.95</v>
      </c>
      <c r="D434" s="94" t="s">
        <v>28</v>
      </c>
      <c r="E434" s="99">
        <v>100</v>
      </c>
      <c r="F434" s="95"/>
    </row>
    <row r="435" spans="1:6" ht="15" customHeight="1" x14ac:dyDescent="0.35">
      <c r="A435" s="96" t="s">
        <v>114</v>
      </c>
      <c r="B435" s="97">
        <v>2016</v>
      </c>
      <c r="C435" s="43">
        <v>722.32</v>
      </c>
      <c r="D435" s="97" t="s">
        <v>28</v>
      </c>
      <c r="E435" s="43">
        <v>106.4</v>
      </c>
      <c r="F435" s="42">
        <v>6.39</v>
      </c>
    </row>
    <row r="436" spans="1:6" ht="15" customHeight="1" x14ac:dyDescent="0.35">
      <c r="A436" s="93" t="s">
        <v>114</v>
      </c>
      <c r="B436" s="94">
        <v>2017</v>
      </c>
      <c r="C436" s="99">
        <v>720.16</v>
      </c>
      <c r="D436" s="94" t="s">
        <v>28</v>
      </c>
      <c r="E436" s="99">
        <v>106.1</v>
      </c>
      <c r="F436" s="95">
        <v>-0.3</v>
      </c>
    </row>
    <row r="437" spans="1:6" ht="15" customHeight="1" x14ac:dyDescent="0.35">
      <c r="A437" s="96" t="s">
        <v>114</v>
      </c>
      <c r="B437" s="97">
        <v>2018</v>
      </c>
      <c r="C437" s="43">
        <v>703.37</v>
      </c>
      <c r="D437" s="97" t="s">
        <v>28</v>
      </c>
      <c r="E437" s="43">
        <v>103.6</v>
      </c>
      <c r="F437" s="42">
        <v>-2.33</v>
      </c>
    </row>
    <row r="438" spans="1:6" ht="15" customHeight="1" x14ac:dyDescent="0.35">
      <c r="A438" s="93" t="s">
        <v>114</v>
      </c>
      <c r="B438" s="94">
        <v>2019</v>
      </c>
      <c r="C438" s="99">
        <v>717.6</v>
      </c>
      <c r="D438" s="94" t="s">
        <v>28</v>
      </c>
      <c r="E438" s="99">
        <v>105.7</v>
      </c>
      <c r="F438" s="95">
        <v>2.02</v>
      </c>
    </row>
    <row r="439" spans="1:6" ht="15" customHeight="1" x14ac:dyDescent="0.35">
      <c r="A439" s="96" t="s">
        <v>114</v>
      </c>
      <c r="B439" s="97">
        <v>2020</v>
      </c>
      <c r="C439" s="43">
        <v>664.85</v>
      </c>
      <c r="D439" s="97" t="s">
        <v>28</v>
      </c>
      <c r="E439" s="43">
        <v>97.9</v>
      </c>
      <c r="F439" s="42">
        <v>-7.35</v>
      </c>
    </row>
    <row r="440" spans="1:6" ht="15" customHeight="1" x14ac:dyDescent="0.35">
      <c r="A440" s="93" t="s">
        <v>114</v>
      </c>
      <c r="B440" s="94">
        <v>2021</v>
      </c>
      <c r="C440" s="99">
        <v>676.79</v>
      </c>
      <c r="D440" s="94" t="s">
        <v>28</v>
      </c>
      <c r="E440" s="99">
        <v>99.7</v>
      </c>
      <c r="F440" s="95">
        <v>1.8</v>
      </c>
    </row>
    <row r="441" spans="1:6" ht="15" customHeight="1" x14ac:dyDescent="0.35">
      <c r="A441" s="96" t="s">
        <v>114</v>
      </c>
      <c r="B441" s="97">
        <v>2022</v>
      </c>
      <c r="C441" s="43">
        <v>708.03</v>
      </c>
      <c r="D441" s="97" t="s">
        <v>28</v>
      </c>
      <c r="E441" s="43">
        <v>104.3</v>
      </c>
      <c r="F441" s="42">
        <v>4.62</v>
      </c>
    </row>
    <row r="442" spans="1:6" ht="15" customHeight="1" x14ac:dyDescent="0.35">
      <c r="A442" s="93" t="s">
        <v>114</v>
      </c>
      <c r="B442" s="94">
        <v>2023</v>
      </c>
      <c r="C442" s="99">
        <v>731.02</v>
      </c>
      <c r="D442" s="94" t="s">
        <v>28</v>
      </c>
      <c r="E442" s="99">
        <v>107.7</v>
      </c>
      <c r="F442" s="95">
        <v>3.25</v>
      </c>
    </row>
    <row r="443" spans="1:6" ht="15" customHeight="1" x14ac:dyDescent="0.35">
      <c r="A443" s="96" t="s">
        <v>115</v>
      </c>
      <c r="B443" s="97">
        <v>2015</v>
      </c>
      <c r="C443" s="43">
        <v>5468.96</v>
      </c>
      <c r="D443" s="97" t="s">
        <v>28</v>
      </c>
      <c r="E443" s="43">
        <v>100</v>
      </c>
      <c r="F443" s="42"/>
    </row>
    <row r="444" spans="1:6" ht="15" customHeight="1" x14ac:dyDescent="0.35">
      <c r="A444" s="93" t="s">
        <v>115</v>
      </c>
      <c r="B444" s="94">
        <v>2016</v>
      </c>
      <c r="C444" s="99">
        <v>5505.43</v>
      </c>
      <c r="D444" s="94" t="s">
        <v>28</v>
      </c>
      <c r="E444" s="99">
        <v>100.7</v>
      </c>
      <c r="F444" s="95">
        <v>0.67</v>
      </c>
    </row>
    <row r="445" spans="1:6" ht="15" customHeight="1" x14ac:dyDescent="0.35">
      <c r="A445" s="96" t="s">
        <v>115</v>
      </c>
      <c r="B445" s="97">
        <v>2017</v>
      </c>
      <c r="C445" s="43">
        <v>5459.13</v>
      </c>
      <c r="D445" s="97" t="s">
        <v>28</v>
      </c>
      <c r="E445" s="43">
        <v>99.8</v>
      </c>
      <c r="F445" s="42">
        <v>-0.84</v>
      </c>
    </row>
    <row r="446" spans="1:6" ht="15" customHeight="1" x14ac:dyDescent="0.35">
      <c r="A446" s="93" t="s">
        <v>115</v>
      </c>
      <c r="B446" s="94">
        <v>2018</v>
      </c>
      <c r="C446" s="99">
        <v>5693.3</v>
      </c>
      <c r="D446" s="94" t="s">
        <v>28</v>
      </c>
      <c r="E446" s="99">
        <v>104.1</v>
      </c>
      <c r="F446" s="95">
        <v>4.29</v>
      </c>
    </row>
    <row r="447" spans="1:6" ht="15" customHeight="1" x14ac:dyDescent="0.35">
      <c r="A447" s="96" t="s">
        <v>115</v>
      </c>
      <c r="B447" s="97">
        <v>2019</v>
      </c>
      <c r="C447" s="43">
        <v>5577.45</v>
      </c>
      <c r="D447" s="97" t="s">
        <v>28</v>
      </c>
      <c r="E447" s="43">
        <v>102</v>
      </c>
      <c r="F447" s="42">
        <v>-2.0299999999999998</v>
      </c>
    </row>
    <row r="448" spans="1:6" ht="15" customHeight="1" x14ac:dyDescent="0.35">
      <c r="A448" s="93" t="s">
        <v>115</v>
      </c>
      <c r="B448" s="94">
        <v>2020</v>
      </c>
      <c r="C448" s="99">
        <v>5022.8900000000003</v>
      </c>
      <c r="D448" s="94" t="s">
        <v>28</v>
      </c>
      <c r="E448" s="99">
        <v>91.8</v>
      </c>
      <c r="F448" s="95">
        <v>-9.94</v>
      </c>
    </row>
    <row r="449" spans="1:6" ht="15" customHeight="1" x14ac:dyDescent="0.35">
      <c r="A449" s="96" t="s">
        <v>115</v>
      </c>
      <c r="B449" s="97">
        <v>2021</v>
      </c>
      <c r="C449" s="43">
        <v>5563.7</v>
      </c>
      <c r="D449" s="97" t="s">
        <v>28</v>
      </c>
      <c r="E449" s="43">
        <v>101.7</v>
      </c>
      <c r="F449" s="42">
        <v>10.77</v>
      </c>
    </row>
    <row r="450" spans="1:6" ht="15" customHeight="1" x14ac:dyDescent="0.35">
      <c r="A450" s="93" t="s">
        <v>115</v>
      </c>
      <c r="B450" s="94">
        <v>2022</v>
      </c>
      <c r="C450" s="99">
        <v>5638.18</v>
      </c>
      <c r="D450" s="94" t="s">
        <v>28</v>
      </c>
      <c r="E450" s="99">
        <v>103.1</v>
      </c>
      <c r="F450" s="95">
        <v>1.34</v>
      </c>
    </row>
    <row r="451" spans="1:6" ht="15" customHeight="1" x14ac:dyDescent="0.35">
      <c r="A451" s="96" t="s">
        <v>115</v>
      </c>
      <c r="B451" s="97">
        <v>2023</v>
      </c>
      <c r="C451" s="43">
        <v>5434.18</v>
      </c>
      <c r="D451" s="97" t="s">
        <v>28</v>
      </c>
      <c r="E451" s="43">
        <v>99.4</v>
      </c>
      <c r="F451" s="42">
        <v>-3.62</v>
      </c>
    </row>
    <row r="452" spans="1:6" ht="15" customHeight="1" x14ac:dyDescent="0.35">
      <c r="A452" s="93" t="s">
        <v>116</v>
      </c>
      <c r="B452" s="94">
        <v>2015</v>
      </c>
      <c r="C452" s="99">
        <v>1192.92</v>
      </c>
      <c r="D452" s="94" t="s">
        <v>28</v>
      </c>
      <c r="E452" s="99">
        <v>100</v>
      </c>
      <c r="F452" s="95"/>
    </row>
    <row r="453" spans="1:6" ht="15" customHeight="1" x14ac:dyDescent="0.35">
      <c r="A453" s="96" t="s">
        <v>116</v>
      </c>
      <c r="B453" s="97">
        <v>2016</v>
      </c>
      <c r="C453" s="43">
        <v>1194.45</v>
      </c>
      <c r="D453" s="97" t="s">
        <v>28</v>
      </c>
      <c r="E453" s="43">
        <v>100.1</v>
      </c>
      <c r="F453" s="42">
        <v>0.13</v>
      </c>
    </row>
    <row r="454" spans="1:6" ht="15" customHeight="1" x14ac:dyDescent="0.35">
      <c r="A454" s="93" t="s">
        <v>116</v>
      </c>
      <c r="B454" s="94">
        <v>2017</v>
      </c>
      <c r="C454" s="99">
        <v>1182.19</v>
      </c>
      <c r="D454" s="94" t="s">
        <v>28</v>
      </c>
      <c r="E454" s="99">
        <v>99.1</v>
      </c>
      <c r="F454" s="95">
        <v>-1.03</v>
      </c>
    </row>
    <row r="455" spans="1:6" ht="15" customHeight="1" x14ac:dyDescent="0.35">
      <c r="A455" s="96" t="s">
        <v>116</v>
      </c>
      <c r="B455" s="97">
        <v>2018</v>
      </c>
      <c r="C455" s="43">
        <v>1143.5999999999999</v>
      </c>
      <c r="D455" s="97" t="s">
        <v>28</v>
      </c>
      <c r="E455" s="43">
        <v>95.9</v>
      </c>
      <c r="F455" s="42">
        <v>-3.26</v>
      </c>
    </row>
    <row r="456" spans="1:6" ht="15" customHeight="1" x14ac:dyDescent="0.35">
      <c r="A456" s="93" t="s">
        <v>116</v>
      </c>
      <c r="B456" s="94">
        <v>2019</v>
      </c>
      <c r="C456" s="99">
        <v>1108.04</v>
      </c>
      <c r="D456" s="94" t="s">
        <v>28</v>
      </c>
      <c r="E456" s="99">
        <v>92.9</v>
      </c>
      <c r="F456" s="95">
        <v>-3.11</v>
      </c>
    </row>
    <row r="457" spans="1:6" ht="15" customHeight="1" x14ac:dyDescent="0.35">
      <c r="A457" s="96" t="s">
        <v>116</v>
      </c>
      <c r="B457" s="97">
        <v>2020</v>
      </c>
      <c r="C457" s="43">
        <v>1051.6400000000001</v>
      </c>
      <c r="D457" s="97" t="s">
        <v>28</v>
      </c>
      <c r="E457" s="43">
        <v>88.2</v>
      </c>
      <c r="F457" s="42">
        <v>-5.09</v>
      </c>
    </row>
    <row r="458" spans="1:6" ht="15" customHeight="1" x14ac:dyDescent="0.35">
      <c r="A458" s="93" t="s">
        <v>116</v>
      </c>
      <c r="B458" s="94">
        <v>2021</v>
      </c>
      <c r="C458" s="99">
        <v>1103.6300000000001</v>
      </c>
      <c r="D458" s="94" t="s">
        <v>28</v>
      </c>
      <c r="E458" s="99">
        <v>92.5</v>
      </c>
      <c r="F458" s="95">
        <v>4.9400000000000004</v>
      </c>
    </row>
    <row r="459" spans="1:6" ht="15" customHeight="1" x14ac:dyDescent="0.35">
      <c r="A459" s="96" t="s">
        <v>116</v>
      </c>
      <c r="B459" s="97">
        <v>2022</v>
      </c>
      <c r="C459" s="43">
        <v>1078.93</v>
      </c>
      <c r="D459" s="97" t="s">
        <v>28</v>
      </c>
      <c r="E459" s="43">
        <v>90.4</v>
      </c>
      <c r="F459" s="42">
        <v>-2.2400000000000002</v>
      </c>
    </row>
    <row r="460" spans="1:6" ht="15" customHeight="1" x14ac:dyDescent="0.35">
      <c r="A460" s="93" t="s">
        <v>116</v>
      </c>
      <c r="B460" s="94">
        <v>2023</v>
      </c>
      <c r="C460" s="99">
        <v>1034.23</v>
      </c>
      <c r="D460" s="94" t="s">
        <v>28</v>
      </c>
      <c r="E460" s="99">
        <v>86.7</v>
      </c>
      <c r="F460" s="95">
        <v>-4.1399999999999997</v>
      </c>
    </row>
    <row r="461" spans="1:6" ht="15" customHeight="1" x14ac:dyDescent="0.35">
      <c r="A461" s="96" t="s">
        <v>117</v>
      </c>
      <c r="B461" s="97">
        <v>2015</v>
      </c>
      <c r="C461" s="43">
        <v>789.07</v>
      </c>
      <c r="D461" s="97" t="s">
        <v>28</v>
      </c>
      <c r="E461" s="43">
        <v>100</v>
      </c>
      <c r="F461" s="42"/>
    </row>
    <row r="462" spans="1:6" ht="15" customHeight="1" x14ac:dyDescent="0.35">
      <c r="A462" s="93" t="s">
        <v>117</v>
      </c>
      <c r="B462" s="94">
        <v>2016</v>
      </c>
      <c r="C462" s="99">
        <v>886.24</v>
      </c>
      <c r="D462" s="94" t="s">
        <v>28</v>
      </c>
      <c r="E462" s="99">
        <v>112.3</v>
      </c>
      <c r="F462" s="95">
        <v>12.31</v>
      </c>
    </row>
    <row r="463" spans="1:6" ht="15" customHeight="1" x14ac:dyDescent="0.35">
      <c r="A463" s="96" t="s">
        <v>117</v>
      </c>
      <c r="B463" s="97">
        <v>2017</v>
      </c>
      <c r="C463" s="43">
        <v>905.03</v>
      </c>
      <c r="D463" s="97" t="s">
        <v>28</v>
      </c>
      <c r="E463" s="43">
        <v>114.7</v>
      </c>
      <c r="F463" s="42">
        <v>2.12</v>
      </c>
    </row>
    <row r="464" spans="1:6" ht="15" customHeight="1" x14ac:dyDescent="0.35">
      <c r="A464" s="93" t="s">
        <v>117</v>
      </c>
      <c r="B464" s="94">
        <v>2018</v>
      </c>
      <c r="C464" s="99">
        <v>923.96</v>
      </c>
      <c r="D464" s="94" t="s">
        <v>28</v>
      </c>
      <c r="E464" s="99">
        <v>117.1</v>
      </c>
      <c r="F464" s="95">
        <v>2.09</v>
      </c>
    </row>
    <row r="465" spans="1:6" ht="15" customHeight="1" x14ac:dyDescent="0.35">
      <c r="A465" s="96" t="s">
        <v>117</v>
      </c>
      <c r="B465" s="97">
        <v>2019</v>
      </c>
      <c r="C465" s="43">
        <v>915.12</v>
      </c>
      <c r="D465" s="97" t="s">
        <v>28</v>
      </c>
      <c r="E465" s="43">
        <v>116</v>
      </c>
      <c r="F465" s="42">
        <v>-0.96</v>
      </c>
    </row>
    <row r="466" spans="1:6" ht="15" customHeight="1" x14ac:dyDescent="0.35">
      <c r="A466" s="93" t="s">
        <v>117</v>
      </c>
      <c r="B466" s="94">
        <v>2020</v>
      </c>
      <c r="C466" s="99">
        <v>853.61</v>
      </c>
      <c r="D466" s="94" t="s">
        <v>28</v>
      </c>
      <c r="E466" s="99">
        <v>108.2</v>
      </c>
      <c r="F466" s="95">
        <v>-6.72</v>
      </c>
    </row>
    <row r="467" spans="1:6" ht="15" customHeight="1" x14ac:dyDescent="0.35">
      <c r="A467" s="96" t="s">
        <v>117</v>
      </c>
      <c r="B467" s="97">
        <v>2021</v>
      </c>
      <c r="C467" s="43">
        <v>844.41</v>
      </c>
      <c r="D467" s="97" t="s">
        <v>28</v>
      </c>
      <c r="E467" s="43">
        <v>107</v>
      </c>
      <c r="F467" s="42">
        <v>-1.08</v>
      </c>
    </row>
    <row r="468" spans="1:6" ht="15" customHeight="1" x14ac:dyDescent="0.35">
      <c r="A468" s="93" t="s">
        <v>117</v>
      </c>
      <c r="B468" s="94">
        <v>2022</v>
      </c>
      <c r="C468" s="99">
        <v>857.27</v>
      </c>
      <c r="D468" s="94" t="s">
        <v>28</v>
      </c>
      <c r="E468" s="99">
        <v>108.6</v>
      </c>
      <c r="F468" s="95">
        <v>1.52</v>
      </c>
    </row>
    <row r="469" spans="1:6" ht="15" customHeight="1" x14ac:dyDescent="0.35">
      <c r="A469" s="96" t="s">
        <v>117</v>
      </c>
      <c r="B469" s="97">
        <v>2023</v>
      </c>
      <c r="C469" s="43">
        <v>875.95</v>
      </c>
      <c r="D469" s="97" t="s">
        <v>28</v>
      </c>
      <c r="E469" s="43">
        <v>111</v>
      </c>
      <c r="F469" s="42">
        <v>2.1800000000000002</v>
      </c>
    </row>
    <row r="470" spans="1:6" ht="15" customHeight="1" x14ac:dyDescent="0.35">
      <c r="A470" s="93" t="s">
        <v>118</v>
      </c>
      <c r="B470" s="94">
        <v>2015</v>
      </c>
      <c r="C470" s="99">
        <v>11103.35</v>
      </c>
      <c r="D470" s="94" t="s">
        <v>20</v>
      </c>
      <c r="E470" s="99">
        <v>100</v>
      </c>
      <c r="F470" s="95"/>
    </row>
    <row r="471" spans="1:6" ht="15" customHeight="1" x14ac:dyDescent="0.35">
      <c r="A471" s="96" t="s">
        <v>118</v>
      </c>
      <c r="B471" s="97">
        <v>2016</v>
      </c>
      <c r="C471" s="43">
        <v>10955.02</v>
      </c>
      <c r="D471" s="97" t="s">
        <v>20</v>
      </c>
      <c r="E471" s="43">
        <v>98.7</v>
      </c>
      <c r="F471" s="42">
        <v>-1.34</v>
      </c>
    </row>
    <row r="472" spans="1:6" ht="15" customHeight="1" x14ac:dyDescent="0.35">
      <c r="A472" s="93" t="s">
        <v>118</v>
      </c>
      <c r="B472" s="94">
        <v>2017</v>
      </c>
      <c r="C472" s="99">
        <v>11189.72</v>
      </c>
      <c r="D472" s="94" t="s">
        <v>20</v>
      </c>
      <c r="E472" s="99">
        <v>100.8</v>
      </c>
      <c r="F472" s="95">
        <v>2.14</v>
      </c>
    </row>
    <row r="473" spans="1:6" ht="15" customHeight="1" x14ac:dyDescent="0.35">
      <c r="A473" s="96" t="s">
        <v>118</v>
      </c>
      <c r="B473" s="97">
        <v>2018</v>
      </c>
      <c r="C473" s="43">
        <v>11662.12</v>
      </c>
      <c r="D473" s="97" t="s">
        <v>20</v>
      </c>
      <c r="E473" s="43">
        <v>105</v>
      </c>
      <c r="F473" s="42">
        <v>4.22</v>
      </c>
    </row>
    <row r="474" spans="1:6" ht="15" customHeight="1" x14ac:dyDescent="0.35">
      <c r="A474" s="93" t="s">
        <v>118</v>
      </c>
      <c r="B474" s="94">
        <v>2019</v>
      </c>
      <c r="C474" s="99">
        <v>11915.69</v>
      </c>
      <c r="D474" s="94" t="s">
        <v>20</v>
      </c>
      <c r="E474" s="99">
        <v>107.3</v>
      </c>
      <c r="F474" s="95">
        <v>2.17</v>
      </c>
    </row>
    <row r="475" spans="1:6" ht="15" customHeight="1" x14ac:dyDescent="0.35">
      <c r="A475" s="96" t="s">
        <v>118</v>
      </c>
      <c r="B475" s="97">
        <v>2020</v>
      </c>
      <c r="C475" s="43">
        <v>12084.55</v>
      </c>
      <c r="D475" s="97" t="s">
        <v>20</v>
      </c>
      <c r="E475" s="43">
        <v>108.8</v>
      </c>
      <c r="F475" s="42">
        <v>1.42</v>
      </c>
    </row>
    <row r="476" spans="1:6" ht="15" customHeight="1" x14ac:dyDescent="0.35">
      <c r="A476" s="93" t="s">
        <v>118</v>
      </c>
      <c r="B476" s="94">
        <v>2021</v>
      </c>
      <c r="C476" s="99">
        <v>12665.78</v>
      </c>
      <c r="D476" s="94" t="s">
        <v>20</v>
      </c>
      <c r="E476" s="99">
        <v>114.1</v>
      </c>
      <c r="F476" s="95">
        <v>4.8099999999999996</v>
      </c>
    </row>
    <row r="477" spans="1:6" ht="15" customHeight="1" x14ac:dyDescent="0.35">
      <c r="A477" s="96" t="s">
        <v>118</v>
      </c>
      <c r="B477" s="97">
        <v>2022</v>
      </c>
      <c r="C477" s="43">
        <v>12651.27</v>
      </c>
      <c r="D477" s="97" t="s">
        <v>20</v>
      </c>
      <c r="E477" s="43">
        <v>113.9</v>
      </c>
      <c r="F477" s="42">
        <v>-0.11</v>
      </c>
    </row>
    <row r="478" spans="1:6" ht="15" customHeight="1" x14ac:dyDescent="0.35">
      <c r="A478" s="93" t="s">
        <v>118</v>
      </c>
      <c r="B478" s="94">
        <v>2023</v>
      </c>
      <c r="C478" s="99">
        <v>13152.05</v>
      </c>
      <c r="D478" s="94" t="s">
        <v>20</v>
      </c>
      <c r="E478" s="99">
        <v>118.5</v>
      </c>
      <c r="F478" s="95">
        <v>3.96</v>
      </c>
    </row>
    <row r="479" spans="1:6" ht="15" customHeight="1" x14ac:dyDescent="0.35">
      <c r="A479" s="96" t="s">
        <v>119</v>
      </c>
      <c r="B479" s="97">
        <v>2015</v>
      </c>
      <c r="C479" s="43">
        <v>11103.35</v>
      </c>
      <c r="D479" s="97" t="s">
        <v>20</v>
      </c>
      <c r="E479" s="43">
        <v>100</v>
      </c>
      <c r="F479" s="42"/>
    </row>
    <row r="480" spans="1:6" ht="15" customHeight="1" x14ac:dyDescent="0.35">
      <c r="A480" s="93" t="s">
        <v>119</v>
      </c>
      <c r="B480" s="94">
        <v>2016</v>
      </c>
      <c r="C480" s="99">
        <v>10955.02</v>
      </c>
      <c r="D480" s="94" t="s">
        <v>20</v>
      </c>
      <c r="E480" s="99">
        <v>98.7</v>
      </c>
      <c r="F480" s="95">
        <v>-1.34</v>
      </c>
    </row>
    <row r="481" spans="1:6" ht="15" customHeight="1" x14ac:dyDescent="0.35">
      <c r="A481" s="96" t="s">
        <v>119</v>
      </c>
      <c r="B481" s="97">
        <v>2017</v>
      </c>
      <c r="C481" s="43">
        <v>11189.72</v>
      </c>
      <c r="D481" s="97" t="s">
        <v>20</v>
      </c>
      <c r="E481" s="43">
        <v>100.8</v>
      </c>
      <c r="F481" s="42">
        <v>2.14</v>
      </c>
    </row>
    <row r="482" spans="1:6" ht="15" customHeight="1" x14ac:dyDescent="0.35">
      <c r="A482" s="93" t="s">
        <v>119</v>
      </c>
      <c r="B482" s="94">
        <v>2018</v>
      </c>
      <c r="C482" s="99">
        <v>11662.12</v>
      </c>
      <c r="D482" s="94" t="s">
        <v>20</v>
      </c>
      <c r="E482" s="99">
        <v>105</v>
      </c>
      <c r="F482" s="95">
        <v>4.22</v>
      </c>
    </row>
    <row r="483" spans="1:6" ht="15" customHeight="1" x14ac:dyDescent="0.35">
      <c r="A483" s="96" t="s">
        <v>119</v>
      </c>
      <c r="B483" s="97">
        <v>2019</v>
      </c>
      <c r="C483" s="43">
        <v>11915.69</v>
      </c>
      <c r="D483" s="97" t="s">
        <v>20</v>
      </c>
      <c r="E483" s="43">
        <v>107.3</v>
      </c>
      <c r="F483" s="42">
        <v>2.17</v>
      </c>
    </row>
    <row r="484" spans="1:6" ht="15" customHeight="1" x14ac:dyDescent="0.35">
      <c r="A484" s="93" t="s">
        <v>119</v>
      </c>
      <c r="B484" s="94">
        <v>2020</v>
      </c>
      <c r="C484" s="99">
        <v>12084.55</v>
      </c>
      <c r="D484" s="94" t="s">
        <v>20</v>
      </c>
      <c r="E484" s="99">
        <v>108.8</v>
      </c>
      <c r="F484" s="95">
        <v>1.42</v>
      </c>
    </row>
    <row r="485" spans="1:6" ht="15" customHeight="1" x14ac:dyDescent="0.35">
      <c r="A485" s="96" t="s">
        <v>119</v>
      </c>
      <c r="B485" s="97">
        <v>2021</v>
      </c>
      <c r="C485" s="43">
        <v>12665.78</v>
      </c>
      <c r="D485" s="97" t="s">
        <v>20</v>
      </c>
      <c r="E485" s="43">
        <v>114.1</v>
      </c>
      <c r="F485" s="42">
        <v>4.8099999999999996</v>
      </c>
    </row>
    <row r="486" spans="1:6" ht="15" customHeight="1" x14ac:dyDescent="0.35">
      <c r="A486" s="93" t="s">
        <v>119</v>
      </c>
      <c r="B486" s="94">
        <v>2022</v>
      </c>
      <c r="C486" s="99">
        <v>12651.27</v>
      </c>
      <c r="D486" s="94" t="s">
        <v>20</v>
      </c>
      <c r="E486" s="99">
        <v>113.9</v>
      </c>
      <c r="F486" s="95">
        <v>-0.11</v>
      </c>
    </row>
    <row r="487" spans="1:6" ht="15" customHeight="1" x14ac:dyDescent="0.35">
      <c r="A487" s="96" t="s">
        <v>119</v>
      </c>
      <c r="B487" s="97">
        <v>2023</v>
      </c>
      <c r="C487" s="43">
        <v>13152.05</v>
      </c>
      <c r="D487" s="97" t="s">
        <v>20</v>
      </c>
      <c r="E487" s="43">
        <v>118.5</v>
      </c>
      <c r="F487" s="42">
        <v>3.96</v>
      </c>
    </row>
    <row r="488" spans="1:6" ht="15" customHeight="1" x14ac:dyDescent="0.35">
      <c r="A488" s="93" t="s">
        <v>120</v>
      </c>
      <c r="B488" s="94">
        <v>2015</v>
      </c>
      <c r="C488" s="99">
        <v>58.81</v>
      </c>
      <c r="D488" s="94" t="s">
        <v>20</v>
      </c>
      <c r="E488" s="99">
        <v>100</v>
      </c>
      <c r="F488" s="95"/>
    </row>
    <row r="489" spans="1:6" ht="15" customHeight="1" x14ac:dyDescent="0.35">
      <c r="A489" s="96" t="s">
        <v>120</v>
      </c>
      <c r="B489" s="97">
        <v>2016</v>
      </c>
      <c r="C489" s="43">
        <v>58.75</v>
      </c>
      <c r="D489" s="97" t="s">
        <v>20</v>
      </c>
      <c r="E489" s="43">
        <v>99.9</v>
      </c>
      <c r="F489" s="42">
        <v>-0.1</v>
      </c>
    </row>
    <row r="490" spans="1:6" ht="15" customHeight="1" x14ac:dyDescent="0.35">
      <c r="A490" s="93" t="s">
        <v>120</v>
      </c>
      <c r="B490" s="94">
        <v>2017</v>
      </c>
      <c r="C490" s="99">
        <v>61.66</v>
      </c>
      <c r="D490" s="94" t="s">
        <v>20</v>
      </c>
      <c r="E490" s="99">
        <v>104.8</v>
      </c>
      <c r="F490" s="95">
        <v>4.95</v>
      </c>
    </row>
    <row r="491" spans="1:6" ht="15" customHeight="1" x14ac:dyDescent="0.35">
      <c r="A491" s="96" t="s">
        <v>120</v>
      </c>
      <c r="B491" s="97">
        <v>2018</v>
      </c>
      <c r="C491" s="43">
        <v>59.97</v>
      </c>
      <c r="D491" s="97" t="s">
        <v>20</v>
      </c>
      <c r="E491" s="43">
        <v>102</v>
      </c>
      <c r="F491" s="42">
        <v>-2.74</v>
      </c>
    </row>
    <row r="492" spans="1:6" ht="15" customHeight="1" x14ac:dyDescent="0.35">
      <c r="A492" s="93" t="s">
        <v>120</v>
      </c>
      <c r="B492" s="94">
        <v>2019</v>
      </c>
      <c r="C492" s="99">
        <v>60.5</v>
      </c>
      <c r="D492" s="94" t="s">
        <v>20</v>
      </c>
      <c r="E492" s="99">
        <v>102.9</v>
      </c>
      <c r="F492" s="95">
        <v>0.88</v>
      </c>
    </row>
    <row r="493" spans="1:6" ht="15" customHeight="1" x14ac:dyDescent="0.35">
      <c r="A493" s="96" t="s">
        <v>120</v>
      </c>
      <c r="B493" s="97">
        <v>2020</v>
      </c>
      <c r="C493" s="43">
        <v>59.68</v>
      </c>
      <c r="D493" s="97" t="s">
        <v>20</v>
      </c>
      <c r="E493" s="43">
        <v>101.5</v>
      </c>
      <c r="F493" s="42">
        <v>-1.36</v>
      </c>
    </row>
    <row r="494" spans="1:6" ht="15" customHeight="1" x14ac:dyDescent="0.35">
      <c r="A494" s="93" t="s">
        <v>120</v>
      </c>
      <c r="B494" s="94">
        <v>2021</v>
      </c>
      <c r="C494" s="99">
        <v>62.44</v>
      </c>
      <c r="D494" s="94" t="s">
        <v>20</v>
      </c>
      <c r="E494" s="99">
        <v>106.2</v>
      </c>
      <c r="F494" s="95">
        <v>4.62</v>
      </c>
    </row>
    <row r="495" spans="1:6" ht="15" customHeight="1" x14ac:dyDescent="0.35">
      <c r="A495" s="96" t="s">
        <v>120</v>
      </c>
      <c r="B495" s="97">
        <v>2022</v>
      </c>
      <c r="C495" s="43">
        <v>63.5</v>
      </c>
      <c r="D495" s="97" t="s">
        <v>20</v>
      </c>
      <c r="E495" s="43">
        <v>108</v>
      </c>
      <c r="F495" s="42">
        <v>1.7</v>
      </c>
    </row>
    <row r="496" spans="1:6" ht="15" customHeight="1" x14ac:dyDescent="0.35">
      <c r="A496" s="93" t="s">
        <v>120</v>
      </c>
      <c r="B496" s="94">
        <v>2023</v>
      </c>
      <c r="C496" s="99">
        <v>64.05</v>
      </c>
      <c r="D496" s="94" t="s">
        <v>20</v>
      </c>
      <c r="E496" s="99">
        <v>108.9</v>
      </c>
      <c r="F496" s="95">
        <v>0.87</v>
      </c>
    </row>
    <row r="497" spans="1:6" ht="15" customHeight="1" x14ac:dyDescent="0.35">
      <c r="A497" s="96" t="s">
        <v>121</v>
      </c>
      <c r="B497" s="97">
        <v>2015</v>
      </c>
      <c r="C497" s="43">
        <v>19.61</v>
      </c>
      <c r="D497" s="97" t="s">
        <v>22</v>
      </c>
      <c r="E497" s="43">
        <v>100</v>
      </c>
      <c r="F497" s="42"/>
    </row>
    <row r="498" spans="1:6" ht="15" customHeight="1" x14ac:dyDescent="0.35">
      <c r="A498" s="93" t="s">
        <v>121</v>
      </c>
      <c r="B498" s="94">
        <v>2016</v>
      </c>
      <c r="C498" s="99">
        <v>18.53</v>
      </c>
      <c r="D498" s="94" t="s">
        <v>22</v>
      </c>
      <c r="E498" s="99">
        <v>94.5</v>
      </c>
      <c r="F498" s="95">
        <v>-5.51</v>
      </c>
    </row>
    <row r="499" spans="1:6" ht="15" customHeight="1" x14ac:dyDescent="0.35">
      <c r="A499" s="96" t="s">
        <v>121</v>
      </c>
      <c r="B499" s="97">
        <v>2017</v>
      </c>
      <c r="C499" s="43">
        <v>18.690000000000001</v>
      </c>
      <c r="D499" s="97" t="s">
        <v>22</v>
      </c>
      <c r="E499" s="43">
        <v>95.3</v>
      </c>
      <c r="F499" s="42">
        <v>0.86</v>
      </c>
    </row>
    <row r="500" spans="1:6" ht="15" customHeight="1" x14ac:dyDescent="0.35">
      <c r="A500" s="93" t="s">
        <v>121</v>
      </c>
      <c r="B500" s="94">
        <v>2018</v>
      </c>
      <c r="C500" s="99">
        <v>18.53</v>
      </c>
      <c r="D500" s="94" t="s">
        <v>22</v>
      </c>
      <c r="E500" s="99">
        <v>94.5</v>
      </c>
      <c r="F500" s="95">
        <v>-0.86</v>
      </c>
    </row>
    <row r="501" spans="1:6" ht="15" customHeight="1" x14ac:dyDescent="0.35">
      <c r="A501" s="96" t="s">
        <v>121</v>
      </c>
      <c r="B501" s="97">
        <v>2019</v>
      </c>
      <c r="C501" s="43">
        <v>18.02</v>
      </c>
      <c r="D501" s="97" t="s">
        <v>22</v>
      </c>
      <c r="E501" s="43">
        <v>91.9</v>
      </c>
      <c r="F501" s="42">
        <v>-2.75</v>
      </c>
    </row>
    <row r="502" spans="1:6" ht="15" customHeight="1" x14ac:dyDescent="0.35">
      <c r="A502" s="93" t="s">
        <v>121</v>
      </c>
      <c r="B502" s="94">
        <v>2020</v>
      </c>
      <c r="C502" s="99">
        <v>16.88</v>
      </c>
      <c r="D502" s="94" t="s">
        <v>22</v>
      </c>
      <c r="E502" s="99">
        <v>86.1</v>
      </c>
      <c r="F502" s="95">
        <v>-6.33</v>
      </c>
    </row>
    <row r="503" spans="1:6" ht="15" customHeight="1" x14ac:dyDescent="0.35">
      <c r="A503" s="96" t="s">
        <v>121</v>
      </c>
      <c r="B503" s="97">
        <v>2021</v>
      </c>
      <c r="C503" s="43">
        <v>15.25</v>
      </c>
      <c r="D503" s="97" t="s">
        <v>22</v>
      </c>
      <c r="E503" s="43">
        <v>77.8</v>
      </c>
      <c r="F503" s="42">
        <v>-9.66</v>
      </c>
    </row>
    <row r="504" spans="1:6" ht="15" customHeight="1" x14ac:dyDescent="0.35">
      <c r="A504" s="93" t="s">
        <v>121</v>
      </c>
      <c r="B504" s="94">
        <v>2022</v>
      </c>
      <c r="C504" s="99">
        <v>14.88</v>
      </c>
      <c r="D504" s="94" t="s">
        <v>22</v>
      </c>
      <c r="E504" s="99">
        <v>75.900000000000006</v>
      </c>
      <c r="F504" s="95">
        <v>-2.4300000000000002</v>
      </c>
    </row>
    <row r="505" spans="1:6" ht="15" customHeight="1" x14ac:dyDescent="0.35">
      <c r="A505" s="96" t="s">
        <v>121</v>
      </c>
      <c r="B505" s="97">
        <v>2023</v>
      </c>
      <c r="C505" s="43">
        <v>14.19</v>
      </c>
      <c r="D505" s="97" t="s">
        <v>22</v>
      </c>
      <c r="E505" s="43">
        <v>72.400000000000006</v>
      </c>
      <c r="F505" s="42">
        <v>-4.6399999999999997</v>
      </c>
    </row>
    <row r="506" spans="1:6" ht="15" customHeight="1" x14ac:dyDescent="0.35">
      <c r="A506" s="93" t="s">
        <v>122</v>
      </c>
      <c r="B506" s="94">
        <v>2015</v>
      </c>
      <c r="C506" s="99">
        <v>501.31</v>
      </c>
      <c r="D506" s="94" t="s">
        <v>17</v>
      </c>
      <c r="E506" s="99">
        <v>100</v>
      </c>
      <c r="F506" s="95"/>
    </row>
    <row r="507" spans="1:6" ht="15" customHeight="1" x14ac:dyDescent="0.35">
      <c r="A507" s="96" t="s">
        <v>122</v>
      </c>
      <c r="B507" s="97">
        <v>2016</v>
      </c>
      <c r="C507" s="43">
        <v>558.48</v>
      </c>
      <c r="D507" s="97" t="s">
        <v>17</v>
      </c>
      <c r="E507" s="43">
        <v>111.4</v>
      </c>
      <c r="F507" s="42">
        <v>11.4</v>
      </c>
    </row>
    <row r="508" spans="1:6" ht="15" customHeight="1" x14ac:dyDescent="0.35">
      <c r="A508" s="93" t="s">
        <v>122</v>
      </c>
      <c r="B508" s="94">
        <v>2017</v>
      </c>
      <c r="C508" s="99">
        <v>571.03</v>
      </c>
      <c r="D508" s="94" t="s">
        <v>17</v>
      </c>
      <c r="E508" s="99">
        <v>113.9</v>
      </c>
      <c r="F508" s="95">
        <v>2.25</v>
      </c>
    </row>
    <row r="509" spans="1:6" ht="15" customHeight="1" x14ac:dyDescent="0.35">
      <c r="A509" s="96" t="s">
        <v>122</v>
      </c>
      <c r="B509" s="97">
        <v>2018</v>
      </c>
      <c r="C509" s="43">
        <v>575.20000000000005</v>
      </c>
      <c r="D509" s="97" t="s">
        <v>17</v>
      </c>
      <c r="E509" s="43">
        <v>114.7</v>
      </c>
      <c r="F509" s="42">
        <v>0.73</v>
      </c>
    </row>
    <row r="510" spans="1:6" ht="15" customHeight="1" x14ac:dyDescent="0.35">
      <c r="A510" s="93" t="s">
        <v>122</v>
      </c>
      <c r="B510" s="94">
        <v>2019</v>
      </c>
      <c r="C510" s="99">
        <v>579.79999999999995</v>
      </c>
      <c r="D510" s="94" t="s">
        <v>17</v>
      </c>
      <c r="E510" s="99">
        <v>115.7</v>
      </c>
      <c r="F510" s="95">
        <v>0.8</v>
      </c>
    </row>
    <row r="511" spans="1:6" ht="15" customHeight="1" x14ac:dyDescent="0.35">
      <c r="A511" s="96" t="s">
        <v>122</v>
      </c>
      <c r="B511" s="97">
        <v>2020</v>
      </c>
      <c r="C511" s="43">
        <v>558.26</v>
      </c>
      <c r="D511" s="97" t="s">
        <v>17</v>
      </c>
      <c r="E511" s="43">
        <v>111.4</v>
      </c>
      <c r="F511" s="42">
        <v>-3.72</v>
      </c>
    </row>
    <row r="512" spans="1:6" ht="15" customHeight="1" x14ac:dyDescent="0.35">
      <c r="A512" s="93" t="s">
        <v>122</v>
      </c>
      <c r="B512" s="94">
        <v>2021</v>
      </c>
      <c r="C512" s="99">
        <v>428.78</v>
      </c>
      <c r="D512" s="94" t="s">
        <v>17</v>
      </c>
      <c r="E512" s="99">
        <v>85.5</v>
      </c>
      <c r="F512" s="95">
        <v>-23.19</v>
      </c>
    </row>
    <row r="513" spans="1:6" ht="15" customHeight="1" x14ac:dyDescent="0.35">
      <c r="A513" s="96" t="s">
        <v>122</v>
      </c>
      <c r="B513" s="97">
        <v>2022</v>
      </c>
      <c r="C513" s="43">
        <v>386.19</v>
      </c>
      <c r="D513" s="97" t="s">
        <v>17</v>
      </c>
      <c r="E513" s="43">
        <v>77</v>
      </c>
      <c r="F513" s="42">
        <v>-9.93</v>
      </c>
    </row>
    <row r="514" spans="1:6" ht="15" customHeight="1" x14ac:dyDescent="0.35">
      <c r="A514" s="93" t="s">
        <v>122</v>
      </c>
      <c r="B514" s="94">
        <v>2023</v>
      </c>
      <c r="C514" s="99">
        <v>382.98</v>
      </c>
      <c r="D514" s="94" t="s">
        <v>17</v>
      </c>
      <c r="E514" s="99">
        <v>76.400000000000006</v>
      </c>
      <c r="F514" s="95">
        <v>-0.83</v>
      </c>
    </row>
    <row r="515" spans="1:6" ht="15" customHeight="1" x14ac:dyDescent="0.35">
      <c r="A515" s="96" t="s">
        <v>123</v>
      </c>
      <c r="B515" s="97">
        <v>2015</v>
      </c>
      <c r="C515" s="43">
        <v>319.92</v>
      </c>
      <c r="D515" s="97" t="s">
        <v>22</v>
      </c>
      <c r="E515" s="43">
        <v>100</v>
      </c>
      <c r="F515" s="42"/>
    </row>
    <row r="516" spans="1:6" ht="15" customHeight="1" x14ac:dyDescent="0.35">
      <c r="A516" s="93" t="s">
        <v>123</v>
      </c>
      <c r="B516" s="94">
        <v>2016</v>
      </c>
      <c r="C516" s="99">
        <v>304.62</v>
      </c>
      <c r="D516" s="94" t="s">
        <v>22</v>
      </c>
      <c r="E516" s="99">
        <v>95.2</v>
      </c>
      <c r="F516" s="95">
        <v>-4.78</v>
      </c>
    </row>
    <row r="517" spans="1:6" ht="15" customHeight="1" x14ac:dyDescent="0.35">
      <c r="A517" s="96" t="s">
        <v>123</v>
      </c>
      <c r="B517" s="97">
        <v>2017</v>
      </c>
      <c r="C517" s="43">
        <v>319.67</v>
      </c>
      <c r="D517" s="97" t="s">
        <v>22</v>
      </c>
      <c r="E517" s="43">
        <v>99.9</v>
      </c>
      <c r="F517" s="42">
        <v>4.9400000000000004</v>
      </c>
    </row>
    <row r="518" spans="1:6" ht="15" customHeight="1" x14ac:dyDescent="0.35">
      <c r="A518" s="93" t="s">
        <v>123</v>
      </c>
      <c r="B518" s="94">
        <v>2018</v>
      </c>
      <c r="C518" s="99">
        <v>311.01</v>
      </c>
      <c r="D518" s="94" t="s">
        <v>22</v>
      </c>
      <c r="E518" s="99">
        <v>97.2</v>
      </c>
      <c r="F518" s="95">
        <v>-2.71</v>
      </c>
    </row>
    <row r="519" spans="1:6" ht="15" customHeight="1" x14ac:dyDescent="0.35">
      <c r="A519" s="96" t="s">
        <v>123</v>
      </c>
      <c r="B519" s="97">
        <v>2019</v>
      </c>
      <c r="C519" s="43">
        <v>293.48</v>
      </c>
      <c r="D519" s="97" t="s">
        <v>22</v>
      </c>
      <c r="E519" s="43">
        <v>91.7</v>
      </c>
      <c r="F519" s="42">
        <v>-5.64</v>
      </c>
    </row>
    <row r="520" spans="1:6" ht="15" customHeight="1" x14ac:dyDescent="0.35">
      <c r="A520" s="93" t="s">
        <v>123</v>
      </c>
      <c r="B520" s="94">
        <v>2020</v>
      </c>
      <c r="C520" s="99">
        <v>255.34</v>
      </c>
      <c r="D520" s="94" t="s">
        <v>22</v>
      </c>
      <c r="E520" s="99">
        <v>79.8</v>
      </c>
      <c r="F520" s="95">
        <v>-13</v>
      </c>
    </row>
    <row r="521" spans="1:6" ht="15" customHeight="1" x14ac:dyDescent="0.35">
      <c r="A521" s="96" t="s">
        <v>123</v>
      </c>
      <c r="B521" s="97">
        <v>2021</v>
      </c>
      <c r="C521" s="43">
        <v>286.49</v>
      </c>
      <c r="D521" s="97" t="s">
        <v>22</v>
      </c>
      <c r="E521" s="43">
        <v>89.6</v>
      </c>
      <c r="F521" s="42">
        <v>12.2</v>
      </c>
    </row>
    <row r="522" spans="1:6" ht="15" customHeight="1" x14ac:dyDescent="0.35">
      <c r="A522" s="93" t="s">
        <v>123</v>
      </c>
      <c r="B522" s="94">
        <v>2022</v>
      </c>
      <c r="C522" s="99">
        <v>289.8</v>
      </c>
      <c r="D522" s="94" t="s">
        <v>22</v>
      </c>
      <c r="E522" s="99">
        <v>90.6</v>
      </c>
      <c r="F522" s="95">
        <v>1.1599999999999999</v>
      </c>
    </row>
    <row r="523" spans="1:6" ht="15" customHeight="1" x14ac:dyDescent="0.35">
      <c r="A523" s="96" t="s">
        <v>123</v>
      </c>
      <c r="B523" s="97">
        <v>2023</v>
      </c>
      <c r="C523" s="43">
        <v>271.61</v>
      </c>
      <c r="D523" s="97" t="s">
        <v>22</v>
      </c>
      <c r="E523" s="43">
        <v>84.9</v>
      </c>
      <c r="F523" s="42">
        <v>-6.28</v>
      </c>
    </row>
    <row r="524" spans="1:6" ht="15" customHeight="1" x14ac:dyDescent="0.35">
      <c r="A524" s="93" t="s">
        <v>124</v>
      </c>
      <c r="B524" s="94">
        <v>2015</v>
      </c>
      <c r="C524" s="99">
        <v>678.95</v>
      </c>
      <c r="D524" s="94" t="s">
        <v>28</v>
      </c>
      <c r="E524" s="99">
        <v>100</v>
      </c>
      <c r="F524" s="95"/>
    </row>
    <row r="525" spans="1:6" ht="15" customHeight="1" x14ac:dyDescent="0.35">
      <c r="A525" s="96" t="s">
        <v>124</v>
      </c>
      <c r="B525" s="97">
        <v>2016</v>
      </c>
      <c r="C525" s="43">
        <v>722.32</v>
      </c>
      <c r="D525" s="97" t="s">
        <v>28</v>
      </c>
      <c r="E525" s="43">
        <v>106.4</v>
      </c>
      <c r="F525" s="42">
        <v>6.39</v>
      </c>
    </row>
    <row r="526" spans="1:6" ht="15" customHeight="1" x14ac:dyDescent="0.35">
      <c r="A526" s="93" t="s">
        <v>124</v>
      </c>
      <c r="B526" s="94">
        <v>2017</v>
      </c>
      <c r="C526" s="99">
        <v>720.16</v>
      </c>
      <c r="D526" s="94" t="s">
        <v>28</v>
      </c>
      <c r="E526" s="99">
        <v>106.1</v>
      </c>
      <c r="F526" s="95">
        <v>-0.3</v>
      </c>
    </row>
    <row r="527" spans="1:6" ht="15" customHeight="1" x14ac:dyDescent="0.35">
      <c r="A527" s="96" t="s">
        <v>124</v>
      </c>
      <c r="B527" s="97">
        <v>2018</v>
      </c>
      <c r="C527" s="43">
        <v>703.37</v>
      </c>
      <c r="D527" s="97" t="s">
        <v>28</v>
      </c>
      <c r="E527" s="43">
        <v>103.6</v>
      </c>
      <c r="F527" s="42">
        <v>-2.33</v>
      </c>
    </row>
    <row r="528" spans="1:6" ht="15" customHeight="1" x14ac:dyDescent="0.35">
      <c r="A528" s="93" t="s">
        <v>124</v>
      </c>
      <c r="B528" s="94">
        <v>2019</v>
      </c>
      <c r="C528" s="99">
        <v>717.6</v>
      </c>
      <c r="D528" s="94" t="s">
        <v>28</v>
      </c>
      <c r="E528" s="99">
        <v>105.7</v>
      </c>
      <c r="F528" s="95">
        <v>2.02</v>
      </c>
    </row>
    <row r="529" spans="1:6" ht="15" customHeight="1" x14ac:dyDescent="0.35">
      <c r="A529" s="96" t="s">
        <v>124</v>
      </c>
      <c r="B529" s="97">
        <v>2020</v>
      </c>
      <c r="C529" s="43">
        <v>664.85</v>
      </c>
      <c r="D529" s="97" t="s">
        <v>28</v>
      </c>
      <c r="E529" s="43">
        <v>97.9</v>
      </c>
      <c r="F529" s="42">
        <v>-7.35</v>
      </c>
    </row>
    <row r="530" spans="1:6" ht="15" customHeight="1" x14ac:dyDescent="0.35">
      <c r="A530" s="93" t="s">
        <v>124</v>
      </c>
      <c r="B530" s="94">
        <v>2021</v>
      </c>
      <c r="C530" s="99">
        <v>676.79</v>
      </c>
      <c r="D530" s="94" t="s">
        <v>28</v>
      </c>
      <c r="E530" s="99">
        <v>99.7</v>
      </c>
      <c r="F530" s="95">
        <v>1.8</v>
      </c>
    </row>
    <row r="531" spans="1:6" ht="15" customHeight="1" x14ac:dyDescent="0.35">
      <c r="A531" s="96" t="s">
        <v>124</v>
      </c>
      <c r="B531" s="97">
        <v>2022</v>
      </c>
      <c r="C531" s="43">
        <v>708.03</v>
      </c>
      <c r="D531" s="97" t="s">
        <v>28</v>
      </c>
      <c r="E531" s="43">
        <v>104.3</v>
      </c>
      <c r="F531" s="42">
        <v>4.62</v>
      </c>
    </row>
    <row r="532" spans="1:6" ht="15" customHeight="1" x14ac:dyDescent="0.35">
      <c r="A532" s="93" t="s">
        <v>124</v>
      </c>
      <c r="B532" s="94">
        <v>2023</v>
      </c>
      <c r="C532" s="99">
        <v>731.02</v>
      </c>
      <c r="D532" s="94" t="s">
        <v>28</v>
      </c>
      <c r="E532" s="99">
        <v>107.7</v>
      </c>
      <c r="F532" s="95">
        <v>3.25</v>
      </c>
    </row>
    <row r="533" spans="1:6" ht="15" customHeight="1" x14ac:dyDescent="0.35">
      <c r="A533" s="96" t="s">
        <v>224</v>
      </c>
      <c r="B533" s="97">
        <v>2015</v>
      </c>
      <c r="C533" s="43">
        <v>20.37</v>
      </c>
      <c r="D533" s="97" t="s">
        <v>22</v>
      </c>
      <c r="E533" s="43">
        <v>100</v>
      </c>
      <c r="F533" s="42"/>
    </row>
    <row r="534" spans="1:6" ht="15" customHeight="1" x14ac:dyDescent="0.35">
      <c r="A534" s="93" t="s">
        <v>224</v>
      </c>
      <c r="B534" s="94">
        <v>2016</v>
      </c>
      <c r="C534" s="99">
        <v>52.12</v>
      </c>
      <c r="D534" s="94" t="s">
        <v>22</v>
      </c>
      <c r="E534" s="99">
        <v>255.9</v>
      </c>
      <c r="F534" s="95">
        <v>155.87</v>
      </c>
    </row>
    <row r="535" spans="1:6" ht="15" customHeight="1" x14ac:dyDescent="0.35">
      <c r="A535" s="96" t="s">
        <v>224</v>
      </c>
      <c r="B535" s="97">
        <v>2017</v>
      </c>
      <c r="C535" s="43">
        <v>51.95</v>
      </c>
      <c r="D535" s="97" t="s">
        <v>22</v>
      </c>
      <c r="E535" s="43">
        <v>255</v>
      </c>
      <c r="F535" s="42">
        <v>-0.33</v>
      </c>
    </row>
    <row r="536" spans="1:6" ht="15" customHeight="1" x14ac:dyDescent="0.35">
      <c r="A536" s="93" t="s">
        <v>224</v>
      </c>
      <c r="B536" s="94">
        <v>2018</v>
      </c>
      <c r="C536" s="99">
        <v>49.86</v>
      </c>
      <c r="D536" s="94" t="s">
        <v>22</v>
      </c>
      <c r="E536" s="99">
        <v>244.8</v>
      </c>
      <c r="F536" s="95">
        <v>-4.0199999999999996</v>
      </c>
    </row>
    <row r="537" spans="1:6" ht="15" customHeight="1" x14ac:dyDescent="0.35">
      <c r="A537" s="96" t="s">
        <v>224</v>
      </c>
      <c r="B537" s="97">
        <v>2019</v>
      </c>
      <c r="C537" s="43">
        <v>49.3</v>
      </c>
      <c r="D537" s="97" t="s">
        <v>22</v>
      </c>
      <c r="E537" s="43">
        <v>242</v>
      </c>
      <c r="F537" s="42">
        <v>-1.1200000000000001</v>
      </c>
    </row>
    <row r="538" spans="1:6" ht="15" customHeight="1" x14ac:dyDescent="0.35">
      <c r="A538" s="93" t="s">
        <v>224</v>
      </c>
      <c r="B538" s="94">
        <v>2020</v>
      </c>
      <c r="C538" s="99">
        <v>47.85</v>
      </c>
      <c r="D538" s="94" t="s">
        <v>22</v>
      </c>
      <c r="E538" s="99">
        <v>234.9</v>
      </c>
      <c r="F538" s="95">
        <v>-2.94</v>
      </c>
    </row>
    <row r="539" spans="1:6" ht="15" customHeight="1" x14ac:dyDescent="0.35">
      <c r="A539" s="96" t="s">
        <v>224</v>
      </c>
      <c r="B539" s="97">
        <v>2021</v>
      </c>
      <c r="C539" s="43">
        <v>57.43</v>
      </c>
      <c r="D539" s="97" t="s">
        <v>22</v>
      </c>
      <c r="E539" s="43">
        <v>281.89999999999998</v>
      </c>
      <c r="F539" s="42">
        <v>20.02</v>
      </c>
    </row>
    <row r="540" spans="1:6" ht="15" customHeight="1" x14ac:dyDescent="0.35">
      <c r="A540" s="93" t="s">
        <v>224</v>
      </c>
      <c r="B540" s="94">
        <v>2022</v>
      </c>
      <c r="C540" s="99">
        <v>54.63</v>
      </c>
      <c r="D540" s="94" t="s">
        <v>22</v>
      </c>
      <c r="E540" s="99">
        <v>268.2</v>
      </c>
      <c r="F540" s="95">
        <v>-4.88</v>
      </c>
    </row>
    <row r="541" spans="1:6" ht="15" customHeight="1" x14ac:dyDescent="0.35">
      <c r="A541" s="96" t="s">
        <v>224</v>
      </c>
      <c r="B541" s="97">
        <v>2023</v>
      </c>
      <c r="C541" s="43">
        <v>53.53</v>
      </c>
      <c r="D541" s="97" t="s">
        <v>22</v>
      </c>
      <c r="E541" s="43">
        <v>262.8</v>
      </c>
      <c r="F541" s="42">
        <v>-2.0099999999999998</v>
      </c>
    </row>
    <row r="542" spans="1:6" ht="15" customHeight="1" x14ac:dyDescent="0.35">
      <c r="A542" s="93" t="s">
        <v>125</v>
      </c>
      <c r="B542" s="94">
        <v>2015</v>
      </c>
      <c r="C542" s="99">
        <v>48.5</v>
      </c>
      <c r="D542" s="94" t="s">
        <v>22</v>
      </c>
      <c r="E542" s="99">
        <v>100</v>
      </c>
      <c r="F542" s="95"/>
    </row>
    <row r="543" spans="1:6" ht="15" customHeight="1" x14ac:dyDescent="0.35">
      <c r="A543" s="96" t="s">
        <v>125</v>
      </c>
      <c r="B543" s="97">
        <v>2016</v>
      </c>
      <c r="C543" s="43">
        <v>50.38</v>
      </c>
      <c r="D543" s="97" t="s">
        <v>22</v>
      </c>
      <c r="E543" s="43">
        <v>103.9</v>
      </c>
      <c r="F543" s="42">
        <v>3.88</v>
      </c>
    </row>
    <row r="544" spans="1:6" ht="15" customHeight="1" x14ac:dyDescent="0.35">
      <c r="A544" s="93" t="s">
        <v>125</v>
      </c>
      <c r="B544" s="94">
        <v>2017</v>
      </c>
      <c r="C544" s="99">
        <v>49.47</v>
      </c>
      <c r="D544" s="94" t="s">
        <v>22</v>
      </c>
      <c r="E544" s="99">
        <v>102</v>
      </c>
      <c r="F544" s="95">
        <v>-1.81</v>
      </c>
    </row>
    <row r="545" spans="1:6" ht="15" customHeight="1" x14ac:dyDescent="0.35">
      <c r="A545" s="96" t="s">
        <v>125</v>
      </c>
      <c r="B545" s="97">
        <v>2018</v>
      </c>
      <c r="C545" s="43">
        <v>48.13</v>
      </c>
      <c r="D545" s="97" t="s">
        <v>22</v>
      </c>
      <c r="E545" s="43">
        <v>99.2</v>
      </c>
      <c r="F545" s="42">
        <v>-2.71</v>
      </c>
    </row>
    <row r="546" spans="1:6" ht="15" customHeight="1" x14ac:dyDescent="0.35">
      <c r="A546" s="93" t="s">
        <v>125</v>
      </c>
      <c r="B546" s="94">
        <v>2019</v>
      </c>
      <c r="C546" s="99">
        <v>47.86</v>
      </c>
      <c r="D546" s="94" t="s">
        <v>22</v>
      </c>
      <c r="E546" s="99">
        <v>98.7</v>
      </c>
      <c r="F546" s="95">
        <v>-0.56000000000000005</v>
      </c>
    </row>
    <row r="547" spans="1:6" ht="15" customHeight="1" x14ac:dyDescent="0.35">
      <c r="A547" s="96" t="s">
        <v>125</v>
      </c>
      <c r="B547" s="97">
        <v>2020</v>
      </c>
      <c r="C547" s="43">
        <v>45.37</v>
      </c>
      <c r="D547" s="97" t="s">
        <v>22</v>
      </c>
      <c r="E547" s="43">
        <v>93.5</v>
      </c>
      <c r="F547" s="42">
        <v>-5.2</v>
      </c>
    </row>
    <row r="548" spans="1:6" ht="15" customHeight="1" x14ac:dyDescent="0.35">
      <c r="A548" s="93" t="s">
        <v>125</v>
      </c>
      <c r="B548" s="94">
        <v>2021</v>
      </c>
      <c r="C548" s="99">
        <v>47</v>
      </c>
      <c r="D548" s="94" t="s">
        <v>22</v>
      </c>
      <c r="E548" s="99">
        <v>96.9</v>
      </c>
      <c r="F548" s="95">
        <v>3.59</v>
      </c>
    </row>
    <row r="549" spans="1:6" ht="15" customHeight="1" x14ac:dyDescent="0.35">
      <c r="A549" s="96" t="s">
        <v>125</v>
      </c>
      <c r="B549" s="97">
        <v>2022</v>
      </c>
      <c r="C549" s="43">
        <v>43.85</v>
      </c>
      <c r="D549" s="97" t="s">
        <v>22</v>
      </c>
      <c r="E549" s="43">
        <v>90.4</v>
      </c>
      <c r="F549" s="42">
        <v>-6.7</v>
      </c>
    </row>
    <row r="550" spans="1:6" ht="15" customHeight="1" x14ac:dyDescent="0.35">
      <c r="A550" s="93" t="s">
        <v>125</v>
      </c>
      <c r="B550" s="94">
        <v>2023</v>
      </c>
      <c r="C550" s="99">
        <v>43.15</v>
      </c>
      <c r="D550" s="94" t="s">
        <v>22</v>
      </c>
      <c r="E550" s="99">
        <v>89</v>
      </c>
      <c r="F550" s="95">
        <v>-1.6</v>
      </c>
    </row>
    <row r="551" spans="1:6" ht="15" customHeight="1" x14ac:dyDescent="0.35">
      <c r="A551" s="96" t="s">
        <v>126</v>
      </c>
      <c r="B551" s="97">
        <v>2015</v>
      </c>
      <c r="C551" s="43">
        <v>678.95</v>
      </c>
      <c r="D551" s="97" t="s">
        <v>28</v>
      </c>
      <c r="E551" s="43">
        <v>100</v>
      </c>
      <c r="F551" s="42"/>
    </row>
    <row r="552" spans="1:6" ht="15" customHeight="1" x14ac:dyDescent="0.35">
      <c r="A552" s="93" t="s">
        <v>126</v>
      </c>
      <c r="B552" s="94">
        <v>2016</v>
      </c>
      <c r="C552" s="99">
        <v>722.32</v>
      </c>
      <c r="D552" s="94" t="s">
        <v>28</v>
      </c>
      <c r="E552" s="99">
        <v>106.4</v>
      </c>
      <c r="F552" s="95">
        <v>6.39</v>
      </c>
    </row>
    <row r="553" spans="1:6" ht="15" customHeight="1" x14ac:dyDescent="0.35">
      <c r="A553" s="96" t="s">
        <v>126</v>
      </c>
      <c r="B553" s="97">
        <v>2017</v>
      </c>
      <c r="C553" s="43">
        <v>720.16</v>
      </c>
      <c r="D553" s="97" t="s">
        <v>28</v>
      </c>
      <c r="E553" s="43">
        <v>106.1</v>
      </c>
      <c r="F553" s="42">
        <v>-0.3</v>
      </c>
    </row>
    <row r="554" spans="1:6" ht="15" customHeight="1" x14ac:dyDescent="0.35">
      <c r="A554" s="93" t="s">
        <v>126</v>
      </c>
      <c r="B554" s="94">
        <v>2018</v>
      </c>
      <c r="C554" s="99">
        <v>703.37</v>
      </c>
      <c r="D554" s="94" t="s">
        <v>28</v>
      </c>
      <c r="E554" s="99">
        <v>103.6</v>
      </c>
      <c r="F554" s="95">
        <v>-2.33</v>
      </c>
    </row>
    <row r="555" spans="1:6" ht="15" customHeight="1" x14ac:dyDescent="0.35">
      <c r="A555" s="96" t="s">
        <v>126</v>
      </c>
      <c r="B555" s="97">
        <v>2019</v>
      </c>
      <c r="C555" s="43">
        <v>717.6</v>
      </c>
      <c r="D555" s="97" t="s">
        <v>28</v>
      </c>
      <c r="E555" s="43">
        <v>105.7</v>
      </c>
      <c r="F555" s="42">
        <v>2.02</v>
      </c>
    </row>
    <row r="556" spans="1:6" ht="15" customHeight="1" x14ac:dyDescent="0.35">
      <c r="A556" s="93" t="s">
        <v>126</v>
      </c>
      <c r="B556" s="94">
        <v>2020</v>
      </c>
      <c r="C556" s="99">
        <v>664.85</v>
      </c>
      <c r="D556" s="94" t="s">
        <v>28</v>
      </c>
      <c r="E556" s="99">
        <v>97.9</v>
      </c>
      <c r="F556" s="95">
        <v>-7.35</v>
      </c>
    </row>
    <row r="557" spans="1:6" ht="15" customHeight="1" x14ac:dyDescent="0.35">
      <c r="A557" s="96" t="s">
        <v>126</v>
      </c>
      <c r="B557" s="97">
        <v>2021</v>
      </c>
      <c r="C557" s="43">
        <v>676.79</v>
      </c>
      <c r="D557" s="97" t="s">
        <v>28</v>
      </c>
      <c r="E557" s="43">
        <v>99.7</v>
      </c>
      <c r="F557" s="42">
        <v>1.8</v>
      </c>
    </row>
    <row r="558" spans="1:6" ht="15" customHeight="1" x14ac:dyDescent="0.35">
      <c r="A558" s="93" t="s">
        <v>126</v>
      </c>
      <c r="B558" s="94">
        <v>2022</v>
      </c>
      <c r="C558" s="99">
        <v>708.03</v>
      </c>
      <c r="D558" s="94" t="s">
        <v>28</v>
      </c>
      <c r="E558" s="99">
        <v>104.3</v>
      </c>
      <c r="F558" s="95">
        <v>4.62</v>
      </c>
    </row>
    <row r="559" spans="1:6" ht="15" customHeight="1" x14ac:dyDescent="0.35">
      <c r="A559" s="96" t="s">
        <v>126</v>
      </c>
      <c r="B559" s="97">
        <v>2023</v>
      </c>
      <c r="C559" s="43">
        <v>731.02</v>
      </c>
      <c r="D559" s="97" t="s">
        <v>28</v>
      </c>
      <c r="E559" s="43">
        <v>107.7</v>
      </c>
      <c r="F559" s="42">
        <v>3.25</v>
      </c>
    </row>
    <row r="560" spans="1:6" ht="15" customHeight="1" x14ac:dyDescent="0.35">
      <c r="A560" s="93" t="s">
        <v>127</v>
      </c>
      <c r="B560" s="94">
        <v>2015</v>
      </c>
      <c r="C560" s="99">
        <v>11103.35</v>
      </c>
      <c r="D560" s="94" t="s">
        <v>20</v>
      </c>
      <c r="E560" s="99">
        <v>100</v>
      </c>
      <c r="F560" s="95"/>
    </row>
    <row r="561" spans="1:6" ht="15" customHeight="1" x14ac:dyDescent="0.35">
      <c r="A561" s="96" t="s">
        <v>127</v>
      </c>
      <c r="B561" s="97">
        <v>2016</v>
      </c>
      <c r="C561" s="43">
        <v>10955.02</v>
      </c>
      <c r="D561" s="97" t="s">
        <v>20</v>
      </c>
      <c r="E561" s="43">
        <v>98.7</v>
      </c>
      <c r="F561" s="42">
        <v>-1.34</v>
      </c>
    </row>
    <row r="562" spans="1:6" ht="15" customHeight="1" x14ac:dyDescent="0.35">
      <c r="A562" s="93" t="s">
        <v>127</v>
      </c>
      <c r="B562" s="94">
        <v>2017</v>
      </c>
      <c r="C562" s="99">
        <v>11189.72</v>
      </c>
      <c r="D562" s="94" t="s">
        <v>20</v>
      </c>
      <c r="E562" s="99">
        <v>100.8</v>
      </c>
      <c r="F562" s="95">
        <v>2.14</v>
      </c>
    </row>
    <row r="563" spans="1:6" ht="15" customHeight="1" x14ac:dyDescent="0.35">
      <c r="A563" s="96" t="s">
        <v>127</v>
      </c>
      <c r="B563" s="97">
        <v>2018</v>
      </c>
      <c r="C563" s="43">
        <v>11662.12</v>
      </c>
      <c r="D563" s="97" t="s">
        <v>20</v>
      </c>
      <c r="E563" s="43">
        <v>105</v>
      </c>
      <c r="F563" s="42">
        <v>4.22</v>
      </c>
    </row>
    <row r="564" spans="1:6" ht="15" customHeight="1" x14ac:dyDescent="0.35">
      <c r="A564" s="93" t="s">
        <v>127</v>
      </c>
      <c r="B564" s="94">
        <v>2019</v>
      </c>
      <c r="C564" s="99">
        <v>11915.69</v>
      </c>
      <c r="D564" s="94" t="s">
        <v>20</v>
      </c>
      <c r="E564" s="99">
        <v>107.3</v>
      </c>
      <c r="F564" s="95">
        <v>2.17</v>
      </c>
    </row>
    <row r="565" spans="1:6" ht="15" customHeight="1" x14ac:dyDescent="0.35">
      <c r="A565" s="96" t="s">
        <v>127</v>
      </c>
      <c r="B565" s="97">
        <v>2020</v>
      </c>
      <c r="C565" s="43">
        <v>12084.55</v>
      </c>
      <c r="D565" s="97" t="s">
        <v>20</v>
      </c>
      <c r="E565" s="43">
        <v>108.8</v>
      </c>
      <c r="F565" s="42">
        <v>1.42</v>
      </c>
    </row>
    <row r="566" spans="1:6" ht="15" customHeight="1" x14ac:dyDescent="0.35">
      <c r="A566" s="93" t="s">
        <v>127</v>
      </c>
      <c r="B566" s="94">
        <v>2021</v>
      </c>
      <c r="C566" s="99">
        <v>12665.78</v>
      </c>
      <c r="D566" s="94" t="s">
        <v>20</v>
      </c>
      <c r="E566" s="99">
        <v>114.1</v>
      </c>
      <c r="F566" s="95">
        <v>4.8099999999999996</v>
      </c>
    </row>
    <row r="567" spans="1:6" ht="15" customHeight="1" x14ac:dyDescent="0.35">
      <c r="A567" s="96" t="s">
        <v>127</v>
      </c>
      <c r="B567" s="97">
        <v>2022</v>
      </c>
      <c r="C567" s="43">
        <v>12651.27</v>
      </c>
      <c r="D567" s="97" t="s">
        <v>20</v>
      </c>
      <c r="E567" s="43">
        <v>113.9</v>
      </c>
      <c r="F567" s="42">
        <v>-0.11</v>
      </c>
    </row>
    <row r="568" spans="1:6" ht="15" customHeight="1" x14ac:dyDescent="0.35">
      <c r="A568" s="93" t="s">
        <v>127</v>
      </c>
      <c r="B568" s="94">
        <v>2023</v>
      </c>
      <c r="C568" s="99">
        <v>13152.05</v>
      </c>
      <c r="D568" s="94" t="s">
        <v>20</v>
      </c>
      <c r="E568" s="99">
        <v>118.5</v>
      </c>
      <c r="F568" s="95">
        <v>3.96</v>
      </c>
    </row>
    <row r="569" spans="1:6" ht="15" customHeight="1" x14ac:dyDescent="0.35">
      <c r="A569" s="96" t="s">
        <v>128</v>
      </c>
      <c r="B569" s="97">
        <v>2015</v>
      </c>
      <c r="C569" s="43">
        <v>1192.92</v>
      </c>
      <c r="D569" s="97" t="s">
        <v>28</v>
      </c>
      <c r="E569" s="43">
        <v>100</v>
      </c>
      <c r="F569" s="42"/>
    </row>
    <row r="570" spans="1:6" ht="15" customHeight="1" x14ac:dyDescent="0.35">
      <c r="A570" s="93" t="s">
        <v>128</v>
      </c>
      <c r="B570" s="94">
        <v>2016</v>
      </c>
      <c r="C570" s="99">
        <v>1194.45</v>
      </c>
      <c r="D570" s="94" t="s">
        <v>28</v>
      </c>
      <c r="E570" s="99">
        <v>100.1</v>
      </c>
      <c r="F570" s="95">
        <v>0.13</v>
      </c>
    </row>
    <row r="571" spans="1:6" ht="15" customHeight="1" x14ac:dyDescent="0.35">
      <c r="A571" s="96" t="s">
        <v>128</v>
      </c>
      <c r="B571" s="97">
        <v>2017</v>
      </c>
      <c r="C571" s="43">
        <v>1182.19</v>
      </c>
      <c r="D571" s="97" t="s">
        <v>28</v>
      </c>
      <c r="E571" s="43">
        <v>99.1</v>
      </c>
      <c r="F571" s="42">
        <v>-1.03</v>
      </c>
    </row>
    <row r="572" spans="1:6" ht="15" customHeight="1" x14ac:dyDescent="0.35">
      <c r="A572" s="93" t="s">
        <v>128</v>
      </c>
      <c r="B572" s="94">
        <v>2018</v>
      </c>
      <c r="C572" s="99">
        <v>1143.5999999999999</v>
      </c>
      <c r="D572" s="94" t="s">
        <v>28</v>
      </c>
      <c r="E572" s="99">
        <v>95.9</v>
      </c>
      <c r="F572" s="95">
        <v>-3.26</v>
      </c>
    </row>
    <row r="573" spans="1:6" ht="15" customHeight="1" x14ac:dyDescent="0.35">
      <c r="A573" s="96" t="s">
        <v>128</v>
      </c>
      <c r="B573" s="97">
        <v>2019</v>
      </c>
      <c r="C573" s="43">
        <v>1108.04</v>
      </c>
      <c r="D573" s="97" t="s">
        <v>28</v>
      </c>
      <c r="E573" s="43">
        <v>92.9</v>
      </c>
      <c r="F573" s="42">
        <v>-3.11</v>
      </c>
    </row>
    <row r="574" spans="1:6" ht="15" customHeight="1" x14ac:dyDescent="0.35">
      <c r="A574" s="93" t="s">
        <v>128</v>
      </c>
      <c r="B574" s="94">
        <v>2020</v>
      </c>
      <c r="C574" s="99">
        <v>1051.6400000000001</v>
      </c>
      <c r="D574" s="94" t="s">
        <v>28</v>
      </c>
      <c r="E574" s="99">
        <v>88.2</v>
      </c>
      <c r="F574" s="95">
        <v>-5.09</v>
      </c>
    </row>
    <row r="575" spans="1:6" ht="15" customHeight="1" x14ac:dyDescent="0.35">
      <c r="A575" s="96" t="s">
        <v>128</v>
      </c>
      <c r="B575" s="97">
        <v>2021</v>
      </c>
      <c r="C575" s="43">
        <v>1103.6300000000001</v>
      </c>
      <c r="D575" s="97" t="s">
        <v>28</v>
      </c>
      <c r="E575" s="43">
        <v>92.5</v>
      </c>
      <c r="F575" s="42">
        <v>4.9400000000000004</v>
      </c>
    </row>
    <row r="576" spans="1:6" ht="15" customHeight="1" x14ac:dyDescent="0.35">
      <c r="A576" s="93" t="s">
        <v>128</v>
      </c>
      <c r="B576" s="94">
        <v>2022</v>
      </c>
      <c r="C576" s="99">
        <v>1078.93</v>
      </c>
      <c r="D576" s="94" t="s">
        <v>28</v>
      </c>
      <c r="E576" s="99">
        <v>90.4</v>
      </c>
      <c r="F576" s="95">
        <v>-2.2400000000000002</v>
      </c>
    </row>
    <row r="577" spans="1:6" ht="15" customHeight="1" x14ac:dyDescent="0.35">
      <c r="A577" s="96" t="s">
        <v>128</v>
      </c>
      <c r="B577" s="97">
        <v>2023</v>
      </c>
      <c r="C577" s="43">
        <v>1034.23</v>
      </c>
      <c r="D577" s="97" t="s">
        <v>28</v>
      </c>
      <c r="E577" s="43">
        <v>86.7</v>
      </c>
      <c r="F577" s="42">
        <v>-4.1399999999999997</v>
      </c>
    </row>
    <row r="578" spans="1:6" ht="15" customHeight="1" x14ac:dyDescent="0.35">
      <c r="A578" s="93" t="s">
        <v>129</v>
      </c>
      <c r="B578" s="94">
        <v>2015</v>
      </c>
      <c r="C578" s="99">
        <v>281.67</v>
      </c>
      <c r="D578" s="94" t="s">
        <v>22</v>
      </c>
      <c r="E578" s="99">
        <v>100</v>
      </c>
      <c r="F578" s="95"/>
    </row>
    <row r="579" spans="1:6" ht="15" customHeight="1" x14ac:dyDescent="0.35">
      <c r="A579" s="96" t="s">
        <v>129</v>
      </c>
      <c r="B579" s="97">
        <v>2016</v>
      </c>
      <c r="C579" s="43">
        <v>286.38</v>
      </c>
      <c r="D579" s="97" t="s">
        <v>22</v>
      </c>
      <c r="E579" s="43">
        <v>101.7</v>
      </c>
      <c r="F579" s="42">
        <v>1.67</v>
      </c>
    </row>
    <row r="580" spans="1:6" ht="15" customHeight="1" x14ac:dyDescent="0.35">
      <c r="A580" s="93" t="s">
        <v>129</v>
      </c>
      <c r="B580" s="94">
        <v>2017</v>
      </c>
      <c r="C580" s="99">
        <v>251.91</v>
      </c>
      <c r="D580" s="94" t="s">
        <v>22</v>
      </c>
      <c r="E580" s="99">
        <v>89.4</v>
      </c>
      <c r="F580" s="95">
        <v>-12.04</v>
      </c>
    </row>
    <row r="581" spans="1:6" ht="15" customHeight="1" x14ac:dyDescent="0.35">
      <c r="A581" s="96" t="s">
        <v>129</v>
      </c>
      <c r="B581" s="97">
        <v>2018</v>
      </c>
      <c r="C581" s="43">
        <v>268.36</v>
      </c>
      <c r="D581" s="97" t="s">
        <v>22</v>
      </c>
      <c r="E581" s="43">
        <v>95.3</v>
      </c>
      <c r="F581" s="42">
        <v>6.53</v>
      </c>
    </row>
    <row r="582" spans="1:6" ht="15" customHeight="1" x14ac:dyDescent="0.35">
      <c r="A582" s="93" t="s">
        <v>129</v>
      </c>
      <c r="B582" s="94">
        <v>2019</v>
      </c>
      <c r="C582" s="99">
        <v>257.89</v>
      </c>
      <c r="D582" s="94" t="s">
        <v>22</v>
      </c>
      <c r="E582" s="99">
        <v>91.6</v>
      </c>
      <c r="F582" s="95">
        <v>-3.9</v>
      </c>
    </row>
    <row r="583" spans="1:6" ht="15" customHeight="1" x14ac:dyDescent="0.35">
      <c r="A583" s="96" t="s">
        <v>129</v>
      </c>
      <c r="B583" s="97">
        <v>2020</v>
      </c>
      <c r="C583" s="43">
        <v>246.25</v>
      </c>
      <c r="D583" s="97" t="s">
        <v>22</v>
      </c>
      <c r="E583" s="43">
        <v>87.4</v>
      </c>
      <c r="F583" s="42">
        <v>-4.51</v>
      </c>
    </row>
    <row r="584" spans="1:6" ht="15" customHeight="1" x14ac:dyDescent="0.35">
      <c r="A584" s="93" t="s">
        <v>129</v>
      </c>
      <c r="B584" s="94">
        <v>2021</v>
      </c>
      <c r="C584" s="99">
        <v>260.23</v>
      </c>
      <c r="D584" s="94" t="s">
        <v>22</v>
      </c>
      <c r="E584" s="99">
        <v>92.4</v>
      </c>
      <c r="F584" s="95">
        <v>5.68</v>
      </c>
    </row>
    <row r="585" spans="1:6" ht="15" customHeight="1" x14ac:dyDescent="0.35">
      <c r="A585" s="96" t="s">
        <v>129</v>
      </c>
      <c r="B585" s="97">
        <v>2022</v>
      </c>
      <c r="C585" s="43">
        <v>181.31</v>
      </c>
      <c r="D585" s="97" t="s">
        <v>22</v>
      </c>
      <c r="E585" s="43">
        <v>64.400000000000006</v>
      </c>
      <c r="F585" s="42">
        <v>-30.33</v>
      </c>
    </row>
    <row r="586" spans="1:6" ht="15" customHeight="1" x14ac:dyDescent="0.35">
      <c r="A586" s="93" t="s">
        <v>129</v>
      </c>
      <c r="B586" s="94">
        <v>2023</v>
      </c>
      <c r="C586" s="99">
        <v>179.25</v>
      </c>
      <c r="D586" s="94" t="s">
        <v>22</v>
      </c>
      <c r="E586" s="99">
        <v>63.6</v>
      </c>
      <c r="F586" s="95">
        <v>-1.1399999999999999</v>
      </c>
    </row>
    <row r="587" spans="1:6" ht="15" customHeight="1" x14ac:dyDescent="0.35">
      <c r="A587" s="96" t="s">
        <v>130</v>
      </c>
      <c r="B587" s="97">
        <v>2015</v>
      </c>
      <c r="C587" s="43">
        <v>512.42999999999995</v>
      </c>
      <c r="D587" s="97" t="s">
        <v>22</v>
      </c>
      <c r="E587" s="43">
        <v>100</v>
      </c>
      <c r="F587" s="42"/>
    </row>
    <row r="588" spans="1:6" ht="15" customHeight="1" x14ac:dyDescent="0.35">
      <c r="A588" s="93" t="s">
        <v>130</v>
      </c>
      <c r="B588" s="94">
        <v>2016</v>
      </c>
      <c r="C588" s="99">
        <v>499.14</v>
      </c>
      <c r="D588" s="94" t="s">
        <v>22</v>
      </c>
      <c r="E588" s="99">
        <v>97.4</v>
      </c>
      <c r="F588" s="95">
        <v>-2.59</v>
      </c>
    </row>
    <row r="589" spans="1:6" ht="15" customHeight="1" x14ac:dyDescent="0.35">
      <c r="A589" s="96" t="s">
        <v>130</v>
      </c>
      <c r="B589" s="97">
        <v>2017</v>
      </c>
      <c r="C589" s="43">
        <v>488.5</v>
      </c>
      <c r="D589" s="97" t="s">
        <v>22</v>
      </c>
      <c r="E589" s="43">
        <v>95.3</v>
      </c>
      <c r="F589" s="42">
        <v>-2.13</v>
      </c>
    </row>
    <row r="590" spans="1:6" ht="15" customHeight="1" x14ac:dyDescent="0.35">
      <c r="A590" s="93" t="s">
        <v>130</v>
      </c>
      <c r="B590" s="94">
        <v>2018</v>
      </c>
      <c r="C590" s="99">
        <v>480.94</v>
      </c>
      <c r="D590" s="94" t="s">
        <v>22</v>
      </c>
      <c r="E590" s="99">
        <v>93.9</v>
      </c>
      <c r="F590" s="95">
        <v>-1.55</v>
      </c>
    </row>
    <row r="591" spans="1:6" ht="15" customHeight="1" x14ac:dyDescent="0.35">
      <c r="A591" s="96" t="s">
        <v>130</v>
      </c>
      <c r="B591" s="97">
        <v>2019</v>
      </c>
      <c r="C591" s="43">
        <v>466.07</v>
      </c>
      <c r="D591" s="97" t="s">
        <v>22</v>
      </c>
      <c r="E591" s="43">
        <v>91</v>
      </c>
      <c r="F591" s="42">
        <v>-3.09</v>
      </c>
    </row>
    <row r="592" spans="1:6" ht="15" customHeight="1" x14ac:dyDescent="0.35">
      <c r="A592" s="93" t="s">
        <v>130</v>
      </c>
      <c r="B592" s="94">
        <v>2020</v>
      </c>
      <c r="C592" s="99">
        <v>422.74</v>
      </c>
      <c r="D592" s="94" t="s">
        <v>22</v>
      </c>
      <c r="E592" s="99">
        <v>82.5</v>
      </c>
      <c r="F592" s="95">
        <v>-9.3000000000000007</v>
      </c>
    </row>
    <row r="593" spans="1:6" ht="15" customHeight="1" x14ac:dyDescent="0.35">
      <c r="A593" s="96" t="s">
        <v>130</v>
      </c>
      <c r="B593" s="97">
        <v>2021</v>
      </c>
      <c r="C593" s="43">
        <v>443.43</v>
      </c>
      <c r="D593" s="97" t="s">
        <v>22</v>
      </c>
      <c r="E593" s="43">
        <v>86.5</v>
      </c>
      <c r="F593" s="42">
        <v>4.8899999999999997</v>
      </c>
    </row>
    <row r="594" spans="1:6" ht="15" customHeight="1" x14ac:dyDescent="0.35">
      <c r="A594" s="93" t="s">
        <v>130</v>
      </c>
      <c r="B594" s="94">
        <v>2022</v>
      </c>
      <c r="C594" s="99">
        <v>427.17</v>
      </c>
      <c r="D594" s="94" t="s">
        <v>22</v>
      </c>
      <c r="E594" s="99">
        <v>83.4</v>
      </c>
      <c r="F594" s="95">
        <v>-3.67</v>
      </c>
    </row>
    <row r="595" spans="1:6" ht="15" customHeight="1" x14ac:dyDescent="0.35">
      <c r="A595" s="96" t="s">
        <v>130</v>
      </c>
      <c r="B595" s="97">
        <v>2023</v>
      </c>
      <c r="C595" s="43">
        <v>407.91</v>
      </c>
      <c r="D595" s="97" t="s">
        <v>22</v>
      </c>
      <c r="E595" s="43">
        <v>79.599999999999994</v>
      </c>
      <c r="F595" s="42">
        <v>-4.51</v>
      </c>
    </row>
    <row r="596" spans="1:6" ht="15" customHeight="1" x14ac:dyDescent="0.35">
      <c r="A596" s="93" t="s">
        <v>131</v>
      </c>
      <c r="B596" s="94">
        <v>2015</v>
      </c>
      <c r="C596" s="99">
        <v>27.56</v>
      </c>
      <c r="D596" s="94" t="s">
        <v>24</v>
      </c>
      <c r="E596" s="99">
        <v>100</v>
      </c>
      <c r="F596" s="95"/>
    </row>
    <row r="597" spans="1:6" ht="15" customHeight="1" x14ac:dyDescent="0.35">
      <c r="A597" s="96" t="s">
        <v>131</v>
      </c>
      <c r="B597" s="97">
        <v>2016</v>
      </c>
      <c r="C597" s="43">
        <v>38.71</v>
      </c>
      <c r="D597" s="97" t="s">
        <v>24</v>
      </c>
      <c r="E597" s="43">
        <v>140.5</v>
      </c>
      <c r="F597" s="42">
        <v>40.46</v>
      </c>
    </row>
    <row r="598" spans="1:6" ht="15" customHeight="1" x14ac:dyDescent="0.35">
      <c r="A598" s="93" t="s">
        <v>131</v>
      </c>
      <c r="B598" s="94">
        <v>2017</v>
      </c>
      <c r="C598" s="99">
        <v>37.869999999999997</v>
      </c>
      <c r="D598" s="94" t="s">
        <v>24</v>
      </c>
      <c r="E598" s="99">
        <v>137.4</v>
      </c>
      <c r="F598" s="95">
        <v>-2.17</v>
      </c>
    </row>
    <row r="599" spans="1:6" ht="15" customHeight="1" x14ac:dyDescent="0.35">
      <c r="A599" s="96" t="s">
        <v>131</v>
      </c>
      <c r="B599" s="97">
        <v>2018</v>
      </c>
      <c r="C599" s="43">
        <v>37.64</v>
      </c>
      <c r="D599" s="97" t="s">
        <v>24</v>
      </c>
      <c r="E599" s="43">
        <v>136.6</v>
      </c>
      <c r="F599" s="42">
        <v>-0.61</v>
      </c>
    </row>
    <row r="600" spans="1:6" ht="15" customHeight="1" x14ac:dyDescent="0.35">
      <c r="A600" s="93" t="s">
        <v>131</v>
      </c>
      <c r="B600" s="94">
        <v>2019</v>
      </c>
      <c r="C600" s="99">
        <v>37.94</v>
      </c>
      <c r="D600" s="94" t="s">
        <v>24</v>
      </c>
      <c r="E600" s="99">
        <v>137.69999999999999</v>
      </c>
      <c r="F600" s="95">
        <v>0.8</v>
      </c>
    </row>
    <row r="601" spans="1:6" ht="15" customHeight="1" x14ac:dyDescent="0.35">
      <c r="A601" s="96" t="s">
        <v>131</v>
      </c>
      <c r="B601" s="97">
        <v>2020</v>
      </c>
      <c r="C601" s="43">
        <v>36.020000000000003</v>
      </c>
      <c r="D601" s="97" t="s">
        <v>24</v>
      </c>
      <c r="E601" s="43">
        <v>130.69999999999999</v>
      </c>
      <c r="F601" s="42">
        <v>-5.0599999999999996</v>
      </c>
    </row>
    <row r="602" spans="1:6" ht="15" customHeight="1" x14ac:dyDescent="0.35">
      <c r="A602" s="93" t="s">
        <v>131</v>
      </c>
      <c r="B602" s="94">
        <v>2021</v>
      </c>
      <c r="C602" s="99">
        <v>36.17</v>
      </c>
      <c r="D602" s="94" t="s">
        <v>24</v>
      </c>
      <c r="E602" s="99">
        <v>131.19999999999999</v>
      </c>
      <c r="F602" s="95">
        <v>0.42</v>
      </c>
    </row>
    <row r="603" spans="1:6" ht="15" customHeight="1" x14ac:dyDescent="0.35">
      <c r="A603" s="96" t="s">
        <v>131</v>
      </c>
      <c r="B603" s="97">
        <v>2022</v>
      </c>
      <c r="C603" s="43">
        <v>35.24</v>
      </c>
      <c r="D603" s="97" t="s">
        <v>24</v>
      </c>
      <c r="E603" s="43">
        <v>127.9</v>
      </c>
      <c r="F603" s="42">
        <v>-2.57</v>
      </c>
    </row>
    <row r="604" spans="1:6" ht="15" customHeight="1" x14ac:dyDescent="0.35">
      <c r="A604" s="93" t="s">
        <v>131</v>
      </c>
      <c r="B604" s="94">
        <v>2023</v>
      </c>
      <c r="C604" s="99">
        <v>35.49</v>
      </c>
      <c r="D604" s="94" t="s">
        <v>24</v>
      </c>
      <c r="E604" s="99">
        <v>128.80000000000001</v>
      </c>
      <c r="F604" s="95">
        <v>0.71</v>
      </c>
    </row>
    <row r="605" spans="1:6" ht="15" customHeight="1" x14ac:dyDescent="0.35">
      <c r="A605" s="96" t="s">
        <v>132</v>
      </c>
      <c r="B605" s="97">
        <v>2015</v>
      </c>
      <c r="C605" s="43">
        <v>5468.96</v>
      </c>
      <c r="D605" s="97" t="s">
        <v>26</v>
      </c>
      <c r="E605" s="43">
        <v>100</v>
      </c>
      <c r="F605" s="42"/>
    </row>
    <row r="606" spans="1:6" ht="15" customHeight="1" x14ac:dyDescent="0.35">
      <c r="A606" s="93" t="s">
        <v>132</v>
      </c>
      <c r="B606" s="94">
        <v>2016</v>
      </c>
      <c r="C606" s="99">
        <v>5505.43</v>
      </c>
      <c r="D606" s="94" t="s">
        <v>26</v>
      </c>
      <c r="E606" s="99">
        <v>100.7</v>
      </c>
      <c r="F606" s="95">
        <v>0.67</v>
      </c>
    </row>
    <row r="607" spans="1:6" ht="15" customHeight="1" x14ac:dyDescent="0.35">
      <c r="A607" s="96" t="s">
        <v>132</v>
      </c>
      <c r="B607" s="97">
        <v>2017</v>
      </c>
      <c r="C607" s="43">
        <v>5459.13</v>
      </c>
      <c r="D607" s="97" t="s">
        <v>26</v>
      </c>
      <c r="E607" s="43">
        <v>99.8</v>
      </c>
      <c r="F607" s="42">
        <v>-0.84</v>
      </c>
    </row>
    <row r="608" spans="1:6" ht="15" customHeight="1" x14ac:dyDescent="0.35">
      <c r="A608" s="93" t="s">
        <v>132</v>
      </c>
      <c r="B608" s="94">
        <v>2018</v>
      </c>
      <c r="C608" s="99">
        <v>5693.3</v>
      </c>
      <c r="D608" s="94" t="s">
        <v>26</v>
      </c>
      <c r="E608" s="99">
        <v>104.1</v>
      </c>
      <c r="F608" s="95">
        <v>4.29</v>
      </c>
    </row>
    <row r="609" spans="1:6" ht="15" customHeight="1" x14ac:dyDescent="0.35">
      <c r="A609" s="96" t="s">
        <v>132</v>
      </c>
      <c r="B609" s="97">
        <v>2019</v>
      </c>
      <c r="C609" s="43">
        <v>5577.45</v>
      </c>
      <c r="D609" s="97" t="s">
        <v>26</v>
      </c>
      <c r="E609" s="43">
        <v>102</v>
      </c>
      <c r="F609" s="42">
        <v>-2.0299999999999998</v>
      </c>
    </row>
    <row r="610" spans="1:6" ht="15" customHeight="1" x14ac:dyDescent="0.35">
      <c r="A610" s="93" t="s">
        <v>132</v>
      </c>
      <c r="B610" s="94">
        <v>2020</v>
      </c>
      <c r="C610" s="99">
        <v>5022.8900000000003</v>
      </c>
      <c r="D610" s="94" t="s">
        <v>26</v>
      </c>
      <c r="E610" s="99">
        <v>91.8</v>
      </c>
      <c r="F610" s="95">
        <v>-9.94</v>
      </c>
    </row>
    <row r="611" spans="1:6" ht="15" customHeight="1" x14ac:dyDescent="0.35">
      <c r="A611" s="96" t="s">
        <v>132</v>
      </c>
      <c r="B611" s="97">
        <v>2021</v>
      </c>
      <c r="C611" s="43">
        <v>5563.7</v>
      </c>
      <c r="D611" s="97" t="s">
        <v>26</v>
      </c>
      <c r="E611" s="43">
        <v>101.7</v>
      </c>
      <c r="F611" s="42">
        <v>10.77</v>
      </c>
    </row>
    <row r="612" spans="1:6" ht="15" customHeight="1" x14ac:dyDescent="0.35">
      <c r="A612" s="93" t="s">
        <v>132</v>
      </c>
      <c r="B612" s="94">
        <v>2022</v>
      </c>
      <c r="C612" s="99">
        <v>5638.18</v>
      </c>
      <c r="D612" s="94" t="s">
        <v>26</v>
      </c>
      <c r="E612" s="99">
        <v>103.1</v>
      </c>
      <c r="F612" s="95">
        <v>1.34</v>
      </c>
    </row>
    <row r="613" spans="1:6" ht="15" customHeight="1" x14ac:dyDescent="0.35">
      <c r="A613" s="96" t="s">
        <v>132</v>
      </c>
      <c r="B613" s="97">
        <v>2023</v>
      </c>
      <c r="C613" s="43">
        <v>5434.18</v>
      </c>
      <c r="D613" s="97" t="s">
        <v>26</v>
      </c>
      <c r="E613" s="43">
        <v>99.4</v>
      </c>
      <c r="F613" s="42">
        <v>-3.62</v>
      </c>
    </row>
    <row r="614" spans="1:6" ht="15" customHeight="1" x14ac:dyDescent="0.35">
      <c r="A614" s="93" t="s">
        <v>133</v>
      </c>
      <c r="B614" s="94">
        <v>2015</v>
      </c>
      <c r="C614" s="99">
        <v>678.95</v>
      </c>
      <c r="D614" s="94" t="s">
        <v>24</v>
      </c>
      <c r="E614" s="99">
        <v>100</v>
      </c>
      <c r="F614" s="95"/>
    </row>
    <row r="615" spans="1:6" ht="15" customHeight="1" x14ac:dyDescent="0.35">
      <c r="A615" s="96" t="s">
        <v>133</v>
      </c>
      <c r="B615" s="97">
        <v>2016</v>
      </c>
      <c r="C615" s="43">
        <v>722.32</v>
      </c>
      <c r="D615" s="97" t="s">
        <v>24</v>
      </c>
      <c r="E615" s="43">
        <v>106.4</v>
      </c>
      <c r="F615" s="42">
        <v>6.39</v>
      </c>
    </row>
    <row r="616" spans="1:6" ht="15" customHeight="1" x14ac:dyDescent="0.35">
      <c r="A616" s="93" t="s">
        <v>133</v>
      </c>
      <c r="B616" s="94">
        <v>2017</v>
      </c>
      <c r="C616" s="99">
        <v>720.16</v>
      </c>
      <c r="D616" s="94" t="s">
        <v>24</v>
      </c>
      <c r="E616" s="99">
        <v>106.1</v>
      </c>
      <c r="F616" s="95">
        <v>-0.3</v>
      </c>
    </row>
    <row r="617" spans="1:6" ht="15" customHeight="1" x14ac:dyDescent="0.35">
      <c r="A617" s="96" t="s">
        <v>133</v>
      </c>
      <c r="B617" s="97">
        <v>2018</v>
      </c>
      <c r="C617" s="43">
        <v>703.37</v>
      </c>
      <c r="D617" s="97" t="s">
        <v>24</v>
      </c>
      <c r="E617" s="43">
        <v>103.6</v>
      </c>
      <c r="F617" s="42">
        <v>-2.33</v>
      </c>
    </row>
    <row r="618" spans="1:6" ht="15" customHeight="1" x14ac:dyDescent="0.35">
      <c r="A618" s="93" t="s">
        <v>133</v>
      </c>
      <c r="B618" s="94">
        <v>2019</v>
      </c>
      <c r="C618" s="99">
        <v>717.6</v>
      </c>
      <c r="D618" s="94" t="s">
        <v>24</v>
      </c>
      <c r="E618" s="99">
        <v>105.7</v>
      </c>
      <c r="F618" s="95">
        <v>2.02</v>
      </c>
    </row>
    <row r="619" spans="1:6" ht="15" customHeight="1" x14ac:dyDescent="0.35">
      <c r="A619" s="96" t="s">
        <v>133</v>
      </c>
      <c r="B619" s="97">
        <v>2020</v>
      </c>
      <c r="C619" s="43">
        <v>664.85</v>
      </c>
      <c r="D619" s="97" t="s">
        <v>24</v>
      </c>
      <c r="E619" s="43">
        <v>97.9</v>
      </c>
      <c r="F619" s="42">
        <v>-7.35</v>
      </c>
    </row>
    <row r="620" spans="1:6" ht="15" customHeight="1" x14ac:dyDescent="0.35">
      <c r="A620" s="93" t="s">
        <v>133</v>
      </c>
      <c r="B620" s="94">
        <v>2021</v>
      </c>
      <c r="C620" s="99">
        <v>676.79</v>
      </c>
      <c r="D620" s="94" t="s">
        <v>24</v>
      </c>
      <c r="E620" s="99">
        <v>99.7</v>
      </c>
      <c r="F620" s="95">
        <v>1.8</v>
      </c>
    </row>
    <row r="621" spans="1:6" ht="15" customHeight="1" x14ac:dyDescent="0.35">
      <c r="A621" s="96" t="s">
        <v>133</v>
      </c>
      <c r="B621" s="97">
        <v>2022</v>
      </c>
      <c r="C621" s="43">
        <v>708.03</v>
      </c>
      <c r="D621" s="97" t="s">
        <v>24</v>
      </c>
      <c r="E621" s="43">
        <v>104.3</v>
      </c>
      <c r="F621" s="42">
        <v>4.62</v>
      </c>
    </row>
    <row r="622" spans="1:6" ht="15" customHeight="1" x14ac:dyDescent="0.35">
      <c r="A622" s="93" t="s">
        <v>133</v>
      </c>
      <c r="B622" s="94">
        <v>2023</v>
      </c>
      <c r="C622" s="99">
        <v>731.02</v>
      </c>
      <c r="D622" s="94" t="s">
        <v>24</v>
      </c>
      <c r="E622" s="99">
        <v>107.7</v>
      </c>
      <c r="F622" s="95">
        <v>3.25</v>
      </c>
    </row>
    <row r="623" spans="1:6" ht="15" customHeight="1" x14ac:dyDescent="0.35">
      <c r="A623" s="96" t="s">
        <v>134</v>
      </c>
      <c r="B623" s="97">
        <v>2015</v>
      </c>
      <c r="C623" s="43">
        <v>678.95</v>
      </c>
      <c r="D623" s="97" t="s">
        <v>24</v>
      </c>
      <c r="E623" s="43">
        <v>100</v>
      </c>
      <c r="F623" s="42"/>
    </row>
    <row r="624" spans="1:6" ht="15" customHeight="1" x14ac:dyDescent="0.35">
      <c r="A624" s="93" t="s">
        <v>134</v>
      </c>
      <c r="B624" s="94">
        <v>2016</v>
      </c>
      <c r="C624" s="99">
        <v>722.32</v>
      </c>
      <c r="D624" s="94" t="s">
        <v>24</v>
      </c>
      <c r="E624" s="99">
        <v>106.4</v>
      </c>
      <c r="F624" s="95">
        <v>6.39</v>
      </c>
    </row>
    <row r="625" spans="1:6" ht="15" customHeight="1" x14ac:dyDescent="0.35">
      <c r="A625" s="96" t="s">
        <v>134</v>
      </c>
      <c r="B625" s="97">
        <v>2017</v>
      </c>
      <c r="C625" s="43">
        <v>720.16</v>
      </c>
      <c r="D625" s="97" t="s">
        <v>24</v>
      </c>
      <c r="E625" s="43">
        <v>106.1</v>
      </c>
      <c r="F625" s="42">
        <v>-0.3</v>
      </c>
    </row>
    <row r="626" spans="1:6" ht="15" customHeight="1" x14ac:dyDescent="0.35">
      <c r="A626" s="93" t="s">
        <v>134</v>
      </c>
      <c r="B626" s="94">
        <v>2018</v>
      </c>
      <c r="C626" s="99">
        <v>703.37</v>
      </c>
      <c r="D626" s="94" t="s">
        <v>24</v>
      </c>
      <c r="E626" s="99">
        <v>103.6</v>
      </c>
      <c r="F626" s="95">
        <v>-2.33</v>
      </c>
    </row>
    <row r="627" spans="1:6" ht="15" customHeight="1" x14ac:dyDescent="0.35">
      <c r="A627" s="96" t="s">
        <v>134</v>
      </c>
      <c r="B627" s="97">
        <v>2019</v>
      </c>
      <c r="C627" s="43">
        <v>717.6</v>
      </c>
      <c r="D627" s="97" t="s">
        <v>24</v>
      </c>
      <c r="E627" s="43">
        <v>105.7</v>
      </c>
      <c r="F627" s="42">
        <v>2.02</v>
      </c>
    </row>
    <row r="628" spans="1:6" ht="15" customHeight="1" x14ac:dyDescent="0.35">
      <c r="A628" s="93" t="s">
        <v>134</v>
      </c>
      <c r="B628" s="94">
        <v>2020</v>
      </c>
      <c r="C628" s="99">
        <v>664.85</v>
      </c>
      <c r="D628" s="94" t="s">
        <v>24</v>
      </c>
      <c r="E628" s="99">
        <v>97.9</v>
      </c>
      <c r="F628" s="95">
        <v>-7.35</v>
      </c>
    </row>
    <row r="629" spans="1:6" ht="15" customHeight="1" x14ac:dyDescent="0.35">
      <c r="A629" s="96" t="s">
        <v>134</v>
      </c>
      <c r="B629" s="97">
        <v>2021</v>
      </c>
      <c r="C629" s="43">
        <v>676.79</v>
      </c>
      <c r="D629" s="97" t="s">
        <v>24</v>
      </c>
      <c r="E629" s="43">
        <v>99.7</v>
      </c>
      <c r="F629" s="42">
        <v>1.8</v>
      </c>
    </row>
    <row r="630" spans="1:6" ht="15" customHeight="1" x14ac:dyDescent="0.35">
      <c r="A630" s="93" t="s">
        <v>134</v>
      </c>
      <c r="B630" s="94">
        <v>2022</v>
      </c>
      <c r="C630" s="99">
        <v>708.03</v>
      </c>
      <c r="D630" s="94" t="s">
        <v>24</v>
      </c>
      <c r="E630" s="99">
        <v>104.3</v>
      </c>
      <c r="F630" s="95">
        <v>4.62</v>
      </c>
    </row>
    <row r="631" spans="1:6" ht="15" customHeight="1" x14ac:dyDescent="0.35">
      <c r="A631" s="96" t="s">
        <v>134</v>
      </c>
      <c r="B631" s="97">
        <v>2023</v>
      </c>
      <c r="C631" s="43">
        <v>731.02</v>
      </c>
      <c r="D631" s="97" t="s">
        <v>24</v>
      </c>
      <c r="E631" s="43">
        <v>107.7</v>
      </c>
      <c r="F631" s="42">
        <v>3.25</v>
      </c>
    </row>
  </sheetData>
  <autoFilter ref="A1:F631" xr:uid="{00000000-0009-0000-0000-000007000000}"/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37474F"/>
  </sheetPr>
  <dimension ref="A1:C17"/>
  <sheetViews>
    <sheetView showGridLines="0" zoomScaleNormal="100" workbookViewId="0">
      <selection activeCell="E6" sqref="E6"/>
    </sheetView>
  </sheetViews>
  <sheetFormatPr defaultColWidth="8.6328125" defaultRowHeight="14.5" x14ac:dyDescent="0.35"/>
  <cols>
    <col min="1" max="1" width="5" style="13" customWidth="1"/>
    <col min="2" max="2" width="40" style="13" customWidth="1"/>
    <col min="3" max="3" width="80" style="13" customWidth="1"/>
  </cols>
  <sheetData>
    <row r="1" spans="2:3" ht="18" customHeight="1" x14ac:dyDescent="0.35">
      <c r="B1" s="121" t="s">
        <v>228</v>
      </c>
      <c r="C1" s="121"/>
    </row>
    <row r="3" spans="2:3" ht="14.25" customHeight="1" x14ac:dyDescent="0.35">
      <c r="B3" s="2" t="s">
        <v>228</v>
      </c>
      <c r="C3" s="2"/>
    </row>
    <row r="4" spans="2:3" ht="22.5" customHeight="1" x14ac:dyDescent="0.35">
      <c r="B4" s="100" t="s">
        <v>229</v>
      </c>
      <c r="C4" s="101" t="s">
        <v>230</v>
      </c>
    </row>
    <row r="5" spans="2:3" ht="22.5" customHeight="1" x14ac:dyDescent="0.35">
      <c r="B5" s="102" t="s">
        <v>231</v>
      </c>
      <c r="C5" s="103" t="s">
        <v>232</v>
      </c>
    </row>
    <row r="6" spans="2:3" ht="14.25" customHeight="1" x14ac:dyDescent="0.35">
      <c r="B6" s="100" t="s">
        <v>233</v>
      </c>
      <c r="C6" s="101" t="s">
        <v>234</v>
      </c>
    </row>
    <row r="7" spans="2:3" ht="14.25" customHeight="1" x14ac:dyDescent="0.35">
      <c r="B7" s="102" t="s">
        <v>235</v>
      </c>
      <c r="C7" s="103" t="s">
        <v>236</v>
      </c>
    </row>
    <row r="8" spans="2:3" ht="14.25" customHeight="1" x14ac:dyDescent="0.35">
      <c r="B8" s="100" t="s">
        <v>237</v>
      </c>
      <c r="C8" s="101" t="s">
        <v>238</v>
      </c>
    </row>
    <row r="11" spans="2:3" ht="14.25" customHeight="1" x14ac:dyDescent="0.35">
      <c r="B11" s="106" t="s">
        <v>239</v>
      </c>
      <c r="C11" s="106"/>
    </row>
    <row r="12" spans="2:3" ht="14.25" customHeight="1" x14ac:dyDescent="0.35">
      <c r="B12" s="104" t="s">
        <v>240</v>
      </c>
      <c r="C12" s="101" t="s">
        <v>241</v>
      </c>
    </row>
    <row r="13" spans="2:3" ht="14.25" customHeight="1" x14ac:dyDescent="0.35">
      <c r="B13" s="105" t="s">
        <v>242</v>
      </c>
      <c r="C13" s="103" t="s">
        <v>243</v>
      </c>
    </row>
    <row r="14" spans="2:3" ht="14.25" customHeight="1" x14ac:dyDescent="0.35">
      <c r="B14" s="104" t="s">
        <v>244</v>
      </c>
      <c r="C14" s="101" t="s">
        <v>245</v>
      </c>
    </row>
    <row r="15" spans="2:3" ht="14.25" customHeight="1" x14ac:dyDescent="0.35">
      <c r="B15" s="105" t="s">
        <v>246</v>
      </c>
      <c r="C15" s="103" t="s">
        <v>247</v>
      </c>
    </row>
    <row r="16" spans="2:3" ht="14.25" customHeight="1" x14ac:dyDescent="0.35">
      <c r="B16" s="104" t="s">
        <v>248</v>
      </c>
      <c r="C16" s="101" t="s">
        <v>249</v>
      </c>
    </row>
    <row r="17" spans="2:3" ht="14.25" customHeight="1" x14ac:dyDescent="0.35">
      <c r="B17" s="105" t="s">
        <v>250</v>
      </c>
      <c r="C17" s="103" t="s">
        <v>251</v>
      </c>
    </row>
  </sheetData>
  <mergeCells count="3">
    <mergeCell ref="B1:C1"/>
    <mergeCell ref="B3:C3"/>
    <mergeCell ref="B11:C11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D10"/>
  <sheetViews>
    <sheetView zoomScaleNormal="100" workbookViewId="0"/>
  </sheetViews>
  <sheetFormatPr defaultColWidth="8.6328125" defaultRowHeight="14.5" x14ac:dyDescent="0.35"/>
  <sheetData>
    <row r="2" spans="1:4" ht="15" customHeight="1" x14ac:dyDescent="0.35">
      <c r="A2" s="13" t="s">
        <v>5</v>
      </c>
      <c r="B2" s="13" t="s">
        <v>5</v>
      </c>
      <c r="C2" s="13">
        <v>2015</v>
      </c>
      <c r="D2" s="13">
        <v>2015</v>
      </c>
    </row>
    <row r="3" spans="1:4" ht="15" customHeight="1" x14ac:dyDescent="0.35">
      <c r="A3" s="13" t="s">
        <v>17</v>
      </c>
      <c r="B3" s="13" t="s">
        <v>72</v>
      </c>
      <c r="C3" s="13">
        <v>2016</v>
      </c>
      <c r="D3" s="13">
        <v>2016</v>
      </c>
    </row>
    <row r="4" spans="1:4" ht="15" customHeight="1" x14ac:dyDescent="0.35">
      <c r="A4" s="13" t="s">
        <v>20</v>
      </c>
      <c r="B4" s="13" t="s">
        <v>71</v>
      </c>
      <c r="C4" s="13">
        <v>2017</v>
      </c>
      <c r="D4" s="13">
        <v>2017</v>
      </c>
    </row>
    <row r="5" spans="1:4" ht="15" customHeight="1" x14ac:dyDescent="0.35">
      <c r="A5" s="13" t="s">
        <v>22</v>
      </c>
      <c r="C5" s="13">
        <v>2018</v>
      </c>
      <c r="D5" s="13">
        <v>2018</v>
      </c>
    </row>
    <row r="6" spans="1:4" ht="15" customHeight="1" x14ac:dyDescent="0.35">
      <c r="A6" s="13" t="s">
        <v>24</v>
      </c>
      <c r="C6" s="13">
        <v>2019</v>
      </c>
      <c r="D6" s="13">
        <v>2019</v>
      </c>
    </row>
    <row r="7" spans="1:4" ht="15" customHeight="1" x14ac:dyDescent="0.35">
      <c r="A7" s="13" t="s">
        <v>26</v>
      </c>
      <c r="C7" s="13">
        <v>2020</v>
      </c>
      <c r="D7" s="13">
        <v>2020</v>
      </c>
    </row>
    <row r="8" spans="1:4" ht="15" customHeight="1" x14ac:dyDescent="0.35">
      <c r="A8" s="13" t="s">
        <v>28</v>
      </c>
      <c r="C8" s="13">
        <v>2021</v>
      </c>
      <c r="D8" s="13">
        <v>2021</v>
      </c>
    </row>
    <row r="9" spans="1:4" ht="15" customHeight="1" x14ac:dyDescent="0.35">
      <c r="C9" s="13">
        <v>2022</v>
      </c>
      <c r="D9" s="13">
        <v>2022</v>
      </c>
    </row>
    <row r="10" spans="1:4" ht="15" customHeight="1" x14ac:dyDescent="0.35">
      <c r="C10" s="13">
        <v>2023</v>
      </c>
      <c r="D10" s="13">
        <v>2023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Dashboard</vt:lpstr>
      <vt:lpstr>Analysis</vt:lpstr>
      <vt:lpstr>Chart_Heatmap</vt:lpstr>
      <vt:lpstr>Econ_Analysis</vt:lpstr>
      <vt:lpstr>Chart_Scatter</vt:lpstr>
      <vt:lpstr>Chart_PriceTrends</vt:lpstr>
      <vt:lpstr>Data_Pricing</vt:lpstr>
      <vt:lpstr>Data_Emissions</vt:lpstr>
      <vt:lpstr>Methodology</vt:lpstr>
      <vt:lpstr>DB_Helper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Gmuer, Josef</cp:lastModifiedBy>
  <cp:revision>5</cp:revision>
  <dcterms:created xsi:type="dcterms:W3CDTF">2026-02-19T15:05:36Z</dcterms:created>
  <dcterms:modified xsi:type="dcterms:W3CDTF">2026-02-19T16:08:28Z</dcterms:modified>
  <dc:language>en-US</dc:language>
</cp:coreProperties>
</file>